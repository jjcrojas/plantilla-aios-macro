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pp\plantilla-aios-macro\salidas_referencia\"/>
    </mc:Choice>
  </mc:AlternateContent>
  <xr:revisionPtr revIDLastSave="0" documentId="13_ncr:1_{39EF6A36-48F8-45B6-8AE5-D65D6DB46C98}" xr6:coauthVersionLast="47" xr6:coauthVersionMax="47" xr10:uidLastSave="{00000000-0000-0000-0000-000000000000}"/>
  <bookViews>
    <workbookView xWindow="-108" yWindow="-108" windowWidth="23256" windowHeight="12456" tabRatio="802" xr2:uid="{00000000-000D-0000-FFFF-FFFF00000000}"/>
  </bookViews>
  <sheets>
    <sheet name="afiliados" sheetId="1" r:id="rId1"/>
    <sheet name="aportantes" sheetId="2" r:id="rId2"/>
    <sheet name="colombia" sheetId="3" r:id="rId3"/>
    <sheet name="gastos" sheetId="5" r:id="rId4"/>
    <sheet name="comisiones" sheetId="4" r:id="rId5"/>
    <sheet name="rentabilidad" sheetId="7" r:id="rId6"/>
    <sheet name="promotores" sheetId="6" r:id="rId7"/>
    <sheet name="traspaso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F14" i="4"/>
</calcChain>
</file>

<file path=xl/sharedStrings.xml><?xml version="1.0" encoding="utf-8"?>
<sst xmlns="http://schemas.openxmlformats.org/spreadsheetml/2006/main" count="266" uniqueCount="50">
  <si>
    <t>País: Colombia</t>
  </si>
  <si>
    <t>Número de Afiliados por Administradora</t>
  </si>
  <si>
    <t>(cifras al cierre de cada trimestre)</t>
  </si>
  <si>
    <t>Fecha</t>
  </si>
  <si>
    <t>Administradoras</t>
  </si>
  <si>
    <t>Colfondos</t>
  </si>
  <si>
    <t>Horizonte</t>
  </si>
  <si>
    <t>Porvenir</t>
  </si>
  <si>
    <t>Protección</t>
  </si>
  <si>
    <t>ING (2)</t>
  </si>
  <si>
    <t>Skandia (1)</t>
  </si>
  <si>
    <t>Fondo
Moderado</t>
  </si>
  <si>
    <t>Fondo
Conservador</t>
  </si>
  <si>
    <t>Fondo
Mayor Riesgo</t>
  </si>
  <si>
    <t>Fondo Conservador
Converg (Cons y Mod)</t>
  </si>
  <si>
    <t>Fondo Conservador
Converg (Cons y M.Rie)</t>
  </si>
  <si>
    <t>Fondo Moderado
Converg (Moder y M.Rie)</t>
  </si>
  <si>
    <t xml:space="preserve"> -   </t>
  </si>
  <si>
    <t>(1) Incluye datos del Fondo Alternativo de Pensiones Obligatorias</t>
  </si>
  <si>
    <t>(2) ING Pensiones y Cesantías antes Santander</t>
  </si>
  <si>
    <t>Número de Aportantes por Administradora*</t>
  </si>
  <si>
    <t>* Trabajadores afiliados que en el mes de referencia hayan percibido en su cuenta de capitalización individual ingreso por aportes obligatorios.</t>
  </si>
  <si>
    <t>(3) Mediante resolución 1850 de 2012 Protección S.A. absorve a ING Pensiones y Cesantías</t>
  </si>
  <si>
    <t>Fondos Administrados por Administradora</t>
  </si>
  <si>
    <t>(saldo al cierre de cada trimestre en millones de dólares)</t>
  </si>
  <si>
    <t>Fondo Moderado</t>
  </si>
  <si>
    <t>Fondo Conservador</t>
  </si>
  <si>
    <t>Fondo Mayor Riesgo</t>
  </si>
  <si>
    <t>Fondo Especial de Retiro Programado</t>
  </si>
  <si>
    <t>Santander</t>
  </si>
  <si>
    <t>Gastos Operativos por Administradora</t>
  </si>
  <si>
    <t>Gastos Operativos = Gastos de Administración + Gastos de Comercialización + Otros</t>
  </si>
  <si>
    <t>(saldo al cierre de cada trimestre en millones de dólares correspondiente a los últimos doce meses)</t>
  </si>
  <si>
    <t>Estructura de Comisiones</t>
  </si>
  <si>
    <t>(comisiones vigentes al cierre de cada trimestre)</t>
  </si>
  <si>
    <t>ING antes Santander</t>
  </si>
  <si>
    <t>Skandia</t>
  </si>
  <si>
    <r>
      <t>Sobre Flujo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
%</t>
    </r>
  </si>
  <si>
    <r>
      <t>Seguro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
%</t>
    </r>
  </si>
  <si>
    <r>
      <t xml:space="preserve">(*) </t>
    </r>
    <r>
      <rPr>
        <sz val="10"/>
        <color theme="1"/>
        <rFont val="Arial"/>
        <family val="2"/>
      </rPr>
      <t>A partir del 15 de septiembre de 2010, el Fondo de Pensiones existente se constituyó en el Fondo Moderado, de acuerdo con el  numeral 1° del Artículo 2.6.11.1.17 del Decreto 2555 de 2010.</t>
    </r>
  </si>
  <si>
    <t>1/ Comisión variable en porcentaje del salario</t>
  </si>
  <si>
    <t>Rendimiento Nominal del Fondo de Inversión por Administradora</t>
  </si>
  <si>
    <t>Rendimiento Real del Fondo de Inversión por Administradora</t>
  </si>
  <si>
    <t>(porcentaje anual de los últimos 12 meses)</t>
  </si>
  <si>
    <t>Número de Promotores por Administradora</t>
  </si>
  <si>
    <t>n.d.</t>
  </si>
  <si>
    <t>Dato de promotores no está disponible</t>
  </si>
  <si>
    <t>Número de Traspasos Netos Entre Administradoras</t>
  </si>
  <si>
    <t>(cifras correspondientes a los últimos doce meses)</t>
  </si>
  <si>
    <t>Nota:Traspasos netos se refiere a traspasos recibidos menos traspasos cedidos.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</si>
</sst>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48"/>
      <name val="Arial"/>
      <family val="2"/>
    </font>
    <font>
      <sz val="10"/>
      <color indexed="48"/>
      <name val="Arial"/>
      <family val="2"/>
    </font>
    <font>
      <sz val="9"/>
      <name val="Arial"/>
      <family val="2"/>
    </font>
    <font>
      <sz val="9"/>
      <color indexed="17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sz val="11"/>
      <name val="Bookman Old Style"/>
      <family val="1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8"/>
      <name val="MS Sans Serif"/>
      <family val="2"/>
    </font>
    <font>
      <b/>
      <vertAlign val="superscript"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Bookman Old Style"/>
      <family val="1"/>
    </font>
    <font>
      <sz val="10"/>
      <color rgb="FFFF0000"/>
      <name val="MS Sans Serif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/>
      <right style="medium">
        <color indexed="0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6">
    <xf numFmtId="0" fontId="0" fillId="0" borderId="0"/>
    <xf numFmtId="0" fontId="3" fillId="0" borderId="1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1" fillId="0" borderId="0"/>
    <xf numFmtId="0" fontId="3" fillId="0" borderId="0"/>
    <xf numFmtId="0" fontId="3" fillId="0" borderId="0"/>
    <xf numFmtId="0" fontId="1" fillId="0" borderId="0"/>
    <xf numFmtId="0" fontId="1" fillId="0" borderId="1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"/>
    <xf numFmtId="0" fontId="1" fillId="0" borderId="1"/>
    <xf numFmtId="0" fontId="3" fillId="0" borderId="1"/>
    <xf numFmtId="0" fontId="1" fillId="0" borderId="1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" fillId="0" borderId="1"/>
    <xf numFmtId="0" fontId="12" fillId="0" borderId="0"/>
    <xf numFmtId="0" fontId="1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5">
    <xf numFmtId="0" fontId="0" fillId="0" borderId="0" xfId="0"/>
    <xf numFmtId="17" fontId="2" fillId="0" borderId="0" xfId="8" applyNumberFormat="1" applyFont="1" applyAlignment="1">
      <alignment horizontal="center"/>
    </xf>
    <xf numFmtId="0" fontId="4" fillId="0" borderId="0" xfId="1" applyFont="1" applyBorder="1"/>
    <xf numFmtId="0" fontId="2" fillId="0" borderId="3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8" fillId="0" borderId="0" xfId="9" applyFont="1" applyBorder="1"/>
    <xf numFmtId="0" fontId="4" fillId="0" borderId="0" xfId="13" applyFont="1" applyBorder="1"/>
    <xf numFmtId="17" fontId="2" fillId="0" borderId="0" xfId="14" applyNumberFormat="1" applyFont="1" applyBorder="1" applyAlignment="1">
      <alignment horizontal="center"/>
    </xf>
    <xf numFmtId="0" fontId="3" fillId="0" borderId="0" xfId="15" applyFont="1" applyBorder="1"/>
    <xf numFmtId="0" fontId="3" fillId="0" borderId="2" xfId="15" applyFont="1" applyBorder="1"/>
    <xf numFmtId="0" fontId="2" fillId="0" borderId="0" xfId="15" applyFont="1" applyBorder="1" applyAlignment="1">
      <alignment horizontal="center" vertical="center" wrapText="1"/>
    </xf>
    <xf numFmtId="0" fontId="2" fillId="3" borderId="16" xfId="15" applyFont="1" applyFill="1" applyBorder="1" applyAlignment="1">
      <alignment horizontal="center" vertical="center" wrapText="1"/>
    </xf>
    <xf numFmtId="3" fontId="3" fillId="0" borderId="18" xfId="15" applyNumberFormat="1" applyFont="1" applyBorder="1" applyAlignment="1">
      <alignment horizontal="right" vertical="center" wrapText="1"/>
    </xf>
    <xf numFmtId="0" fontId="3" fillId="0" borderId="18" xfId="15" applyFont="1" applyBorder="1"/>
    <xf numFmtId="3" fontId="3" fillId="0" borderId="18" xfId="15" applyNumberFormat="1" applyFont="1" applyBorder="1"/>
    <xf numFmtId="3" fontId="3" fillId="0" borderId="0" xfId="15" applyNumberFormat="1" applyFont="1" applyBorder="1"/>
    <xf numFmtId="168" fontId="15" fillId="0" borderId="18" xfId="3" applyNumberFormat="1" applyFont="1" applyFill="1" applyBorder="1" applyAlignment="1">
      <alignment horizontal="right" vertical="center" wrapText="1"/>
    </xf>
    <xf numFmtId="0" fontId="8" fillId="0" borderId="0" xfId="15" applyFont="1" applyBorder="1"/>
    <xf numFmtId="3" fontId="8" fillId="0" borderId="0" xfId="15" applyNumberFormat="1" applyFont="1" applyBorder="1"/>
    <xf numFmtId="0" fontId="4" fillId="0" borderId="0" xfId="15" applyFont="1" applyBorder="1"/>
    <xf numFmtId="0" fontId="5" fillId="0" borderId="0" xfId="15" applyFont="1" applyBorder="1"/>
    <xf numFmtId="0" fontId="16" fillId="4" borderId="12" xfId="15" applyFont="1" applyFill="1" applyBorder="1" applyAlignment="1">
      <alignment horizontal="center" vertical="center" wrapText="1"/>
    </xf>
    <xf numFmtId="168" fontId="3" fillId="0" borderId="5" xfId="16" applyNumberFormat="1" applyFont="1" applyFill="1" applyBorder="1" applyAlignment="1">
      <alignment horizontal="right" vertical="center" wrapText="1"/>
    </xf>
    <xf numFmtId="0" fontId="18" fillId="0" borderId="0" xfId="15" applyFont="1" applyBorder="1"/>
    <xf numFmtId="0" fontId="18" fillId="0" borderId="0" xfId="0" applyFont="1"/>
    <xf numFmtId="0" fontId="1" fillId="0" borderId="0" xfId="18" applyFont="1" applyBorder="1"/>
    <xf numFmtId="0" fontId="4" fillId="0" borderId="0" xfId="18" applyFont="1" applyBorder="1"/>
    <xf numFmtId="0" fontId="19" fillId="0" borderId="0" xfId="18" applyFont="1" applyBorder="1"/>
    <xf numFmtId="0" fontId="3" fillId="0" borderId="0" xfId="18" applyBorder="1"/>
    <xf numFmtId="0" fontId="21" fillId="0" borderId="0" xfId="18" applyFont="1" applyBorder="1"/>
    <xf numFmtId="0" fontId="6" fillId="0" borderId="0" xfId="18" applyFont="1" applyBorder="1"/>
    <xf numFmtId="0" fontId="0" fillId="0" borderId="0" xfId="18" applyFont="1" applyBorder="1"/>
    <xf numFmtId="0" fontId="2" fillId="0" borderId="0" xfId="18" applyFont="1" applyBorder="1" applyAlignment="1">
      <alignment horizontal="center" vertical="center" wrapText="1"/>
    </xf>
    <xf numFmtId="0" fontId="2" fillId="0" borderId="12" xfId="18" applyFont="1" applyBorder="1" applyAlignment="1">
      <alignment horizontal="center" vertical="center" wrapText="1"/>
    </xf>
    <xf numFmtId="0" fontId="2" fillId="0" borderId="21" xfId="18" applyFont="1" applyBorder="1" applyAlignment="1">
      <alignment horizontal="center" vertical="center" wrapText="1"/>
    </xf>
    <xf numFmtId="17" fontId="2" fillId="0" borderId="5" xfId="18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167" fontId="3" fillId="0" borderId="0" xfId="18" applyNumberFormat="1" applyBorder="1" applyAlignment="1">
      <alignment horizontal="right" vertical="center" wrapText="1"/>
    </xf>
    <xf numFmtId="0" fontId="7" fillId="0" borderId="0" xfId="18" applyFont="1" applyBorder="1"/>
    <xf numFmtId="0" fontId="9" fillId="0" borderId="0" xfId="18" applyFont="1" applyBorder="1"/>
    <xf numFmtId="0" fontId="2" fillId="0" borderId="0" xfId="18" applyFont="1" applyBorder="1"/>
    <xf numFmtId="3" fontId="1" fillId="0" borderId="0" xfId="18" applyNumberFormat="1" applyFont="1" applyBorder="1"/>
    <xf numFmtId="0" fontId="2" fillId="0" borderId="9" xfId="18" applyFont="1" applyBorder="1" applyAlignment="1">
      <alignment horizontal="center" vertical="center" wrapText="1"/>
    </xf>
    <xf numFmtId="0" fontId="2" fillId="0" borderId="22" xfId="18" applyFont="1" applyBorder="1" applyAlignment="1">
      <alignment horizontal="center" vertical="center" wrapText="1"/>
    </xf>
    <xf numFmtId="0" fontId="2" fillId="0" borderId="3" xfId="18" applyFont="1" applyBorder="1" applyAlignment="1">
      <alignment horizontal="center" vertical="center" wrapText="1"/>
    </xf>
    <xf numFmtId="0" fontId="2" fillId="0" borderId="23" xfId="18" applyFont="1" applyBorder="1" applyAlignment="1">
      <alignment horizontal="center" vertical="center" wrapText="1"/>
    </xf>
    <xf numFmtId="0" fontId="2" fillId="0" borderId="24" xfId="18" applyFont="1" applyBorder="1" applyAlignment="1">
      <alignment horizontal="center" vertical="center" wrapText="1"/>
    </xf>
    <xf numFmtId="0" fontId="2" fillId="0" borderId="25" xfId="18" applyFont="1" applyBorder="1" applyAlignment="1">
      <alignment horizontal="center" vertical="center" wrapText="1"/>
    </xf>
    <xf numFmtId="0" fontId="2" fillId="0" borderId="10" xfId="18" applyFont="1" applyBorder="1" applyAlignment="1">
      <alignment horizontal="center" vertical="center" wrapText="1"/>
    </xf>
    <xf numFmtId="0" fontId="8" fillId="0" borderId="0" xfId="18" applyFont="1" applyBorder="1"/>
    <xf numFmtId="0" fontId="1" fillId="0" borderId="0" xfId="12" applyFont="1" applyBorder="1"/>
    <xf numFmtId="0" fontId="4" fillId="0" borderId="0" xfId="12" applyFont="1" applyBorder="1"/>
    <xf numFmtId="0" fontId="19" fillId="0" borderId="0" xfId="12" applyFont="1" applyBorder="1"/>
    <xf numFmtId="0" fontId="10" fillId="0" borderId="0" xfId="12" applyFont="1" applyBorder="1"/>
    <xf numFmtId="0" fontId="2" fillId="0" borderId="21" xfId="12" applyFont="1" applyBorder="1" applyAlignment="1">
      <alignment horizontal="center" vertical="center" wrapText="1"/>
    </xf>
    <xf numFmtId="0" fontId="2" fillId="0" borderId="0" xfId="12" applyFont="1" applyBorder="1" applyAlignment="1">
      <alignment horizontal="center" vertical="center" wrapText="1"/>
    </xf>
    <xf numFmtId="1" fontId="0" fillId="0" borderId="0" xfId="0" applyNumberFormat="1"/>
    <xf numFmtId="0" fontId="1" fillId="0" borderId="0" xfId="1" applyFont="1" applyBorder="1"/>
    <xf numFmtId="0" fontId="19" fillId="0" borderId="0" xfId="1" applyFont="1" applyBorder="1"/>
    <xf numFmtId="0" fontId="3" fillId="0" borderId="0" xfId="1" applyBorder="1"/>
    <xf numFmtId="0" fontId="3" fillId="0" borderId="2" xfId="1" applyBorder="1"/>
    <xf numFmtId="0" fontId="1" fillId="0" borderId="2" xfId="1" applyFont="1" applyBorder="1"/>
    <xf numFmtId="0" fontId="0" fillId="0" borderId="0" xfId="1" applyFont="1" applyBorder="1"/>
    <xf numFmtId="0" fontId="2" fillId="0" borderId="15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3" fillId="0" borderId="0" xfId="12" applyBorder="1"/>
    <xf numFmtId="0" fontId="3" fillId="0" borderId="2" xfId="12" applyBorder="1"/>
    <xf numFmtId="0" fontId="1" fillId="0" borderId="2" xfId="12" applyFont="1" applyBorder="1"/>
    <xf numFmtId="0" fontId="2" fillId="0" borderId="5" xfId="12" applyFont="1" applyBorder="1" applyAlignment="1">
      <alignment horizontal="center" vertical="center" wrapText="1"/>
    </xf>
    <xf numFmtId="0" fontId="2" fillId="0" borderId="12" xfId="12" applyFont="1" applyBorder="1" applyAlignment="1">
      <alignment horizontal="center" vertical="center" wrapText="1"/>
    </xf>
    <xf numFmtId="0" fontId="2" fillId="0" borderId="2" xfId="15" applyFont="1" applyBorder="1" applyAlignment="1">
      <alignment horizontal="center" vertical="center" wrapText="1"/>
    </xf>
    <xf numFmtId="0" fontId="2" fillId="0" borderId="22" xfId="15" applyFont="1" applyBorder="1" applyAlignment="1">
      <alignment horizontal="center" vertical="center" wrapText="1"/>
    </xf>
    <xf numFmtId="0" fontId="2" fillId="0" borderId="3" xfId="15" applyFont="1" applyBorder="1" applyAlignment="1">
      <alignment horizontal="center" vertical="center" wrapText="1"/>
    </xf>
    <xf numFmtId="168" fontId="3" fillId="0" borderId="18" xfId="15" applyNumberFormat="1" applyFont="1" applyBorder="1" applyAlignment="1">
      <alignment horizontal="right" vertical="center" wrapText="1"/>
    </xf>
    <xf numFmtId="168" fontId="29" fillId="0" borderId="0" xfId="3" applyNumberFormat="1" applyFont="1" applyFill="1" applyBorder="1" applyAlignment="1">
      <alignment horizontal="right" vertical="center" wrapText="1"/>
    </xf>
    <xf numFmtId="0" fontId="27" fillId="0" borderId="0" xfId="15" applyFont="1" applyBorder="1"/>
    <xf numFmtId="0" fontId="28" fillId="0" borderId="0" xfId="0" applyFont="1"/>
    <xf numFmtId="165" fontId="0" fillId="0" borderId="0" xfId="16" applyFont="1" applyBorder="1"/>
    <xf numFmtId="4" fontId="0" fillId="0" borderId="0" xfId="0" applyNumberFormat="1"/>
    <xf numFmtId="2" fontId="0" fillId="0" borderId="0" xfId="0" applyNumberFormat="1"/>
    <xf numFmtId="4" fontId="3" fillId="0" borderId="0" xfId="18" applyNumberFormat="1" applyBorder="1" applyAlignment="1">
      <alignment horizontal="center" vertical="center" wrapText="1"/>
    </xf>
    <xf numFmtId="4" fontId="3" fillId="0" borderId="17" xfId="18" applyNumberFormat="1" applyBorder="1" applyAlignment="1">
      <alignment horizontal="center" vertical="center" wrapText="1"/>
    </xf>
    <xf numFmtId="17" fontId="2" fillId="0" borderId="0" xfId="18" applyNumberFormat="1" applyFont="1" applyBorder="1" applyAlignment="1">
      <alignment horizontal="center"/>
    </xf>
    <xf numFmtId="0" fontId="30" fillId="0" borderId="0" xfId="18" applyFont="1" applyBorder="1"/>
    <xf numFmtId="0" fontId="13" fillId="0" borderId="0" xfId="0" applyFont="1"/>
    <xf numFmtId="3" fontId="3" fillId="0" borderId="6" xfId="18" applyNumberFormat="1" applyBorder="1" applyAlignment="1">
      <alignment horizontal="right" vertical="center" wrapText="1"/>
    </xf>
    <xf numFmtId="3" fontId="3" fillId="0" borderId="0" xfId="18" applyNumberFormat="1" applyBorder="1" applyAlignment="1">
      <alignment horizontal="right" vertical="center" wrapText="1"/>
    </xf>
    <xf numFmtId="3" fontId="3" fillId="0" borderId="11" xfId="18" applyNumberFormat="1" applyBorder="1" applyAlignment="1">
      <alignment horizontal="right" vertical="center" wrapText="1"/>
    </xf>
    <xf numFmtId="3" fontId="3" fillId="0" borderId="8" xfId="18" applyNumberFormat="1" applyBorder="1" applyAlignment="1">
      <alignment horizontal="right" vertical="center" wrapText="1"/>
    </xf>
    <xf numFmtId="1" fontId="0" fillId="0" borderId="27" xfId="0" applyNumberFormat="1" applyBorder="1"/>
    <xf numFmtId="1" fontId="0" fillId="0" borderId="28" xfId="0" applyNumberFormat="1" applyBorder="1"/>
    <xf numFmtId="1" fontId="0" fillId="0" borderId="29" xfId="0" applyNumberFormat="1" applyBorder="1"/>
    <xf numFmtId="1" fontId="0" fillId="0" borderId="30" xfId="0" applyNumberFormat="1" applyBorder="1"/>
    <xf numFmtId="3" fontId="3" fillId="0" borderId="5" xfId="12" applyNumberFormat="1" applyBorder="1" applyAlignment="1">
      <alignment horizontal="right" vertical="center" wrapText="1"/>
    </xf>
    <xf numFmtId="17" fontId="2" fillId="0" borderId="0" xfId="1" applyNumberFormat="1" applyFont="1" applyBorder="1" applyAlignment="1">
      <alignment horizontal="center" vertical="center" wrapText="1"/>
    </xf>
    <xf numFmtId="17" fontId="2" fillId="0" borderId="5" xfId="12" applyNumberFormat="1" applyFont="1" applyBorder="1" applyAlignment="1">
      <alignment horizontal="center"/>
    </xf>
    <xf numFmtId="2" fontId="3" fillId="0" borderId="5" xfId="0" applyNumberFormat="1" applyFont="1" applyBorder="1"/>
    <xf numFmtId="3" fontId="26" fillId="0" borderId="6" xfId="15" applyNumberFormat="1" applyFont="1" applyBorder="1" applyAlignment="1">
      <alignment horizontal="right" vertical="center" wrapText="1"/>
    </xf>
    <xf numFmtId="3" fontId="26" fillId="0" borderId="8" xfId="15" applyNumberFormat="1" applyFont="1" applyBorder="1" applyAlignment="1">
      <alignment horizontal="right" vertical="center" wrapText="1"/>
    </xf>
    <xf numFmtId="3" fontId="26" fillId="0" borderId="0" xfId="15" applyNumberFormat="1" applyFont="1" applyBorder="1" applyAlignment="1">
      <alignment horizontal="right" vertical="center" wrapText="1"/>
    </xf>
    <xf numFmtId="3" fontId="26" fillId="0" borderId="11" xfId="15" applyNumberFormat="1" applyFont="1" applyBorder="1" applyAlignment="1">
      <alignment horizontal="right" vertical="center" wrapText="1"/>
    </xf>
    <xf numFmtId="17" fontId="2" fillId="0" borderId="0" xfId="15" applyNumberFormat="1" applyFont="1" applyBorder="1" applyAlignment="1">
      <alignment horizontal="center" vertical="center" wrapText="1"/>
    </xf>
    <xf numFmtId="3" fontId="13" fillId="0" borderId="0" xfId="0" applyNumberFormat="1" applyFont="1"/>
    <xf numFmtId="3" fontId="0" fillId="0" borderId="0" xfId="0" applyNumberFormat="1"/>
    <xf numFmtId="0" fontId="0" fillId="0" borderId="31" xfId="0" applyBorder="1"/>
    <xf numFmtId="165" fontId="0" fillId="0" borderId="0" xfId="16" applyFont="1"/>
    <xf numFmtId="1" fontId="0" fillId="0" borderId="33" xfId="0" applyNumberFormat="1" applyBorder="1"/>
    <xf numFmtId="1" fontId="0" fillId="0" borderId="34" xfId="0" applyNumberFormat="1" applyBorder="1"/>
    <xf numFmtId="1" fontId="0" fillId="0" borderId="32" xfId="0" applyNumberFormat="1" applyBorder="1"/>
    <xf numFmtId="17" fontId="2" fillId="0" borderId="31" xfId="12" applyNumberFormat="1" applyFont="1" applyBorder="1" applyAlignment="1">
      <alignment horizontal="center"/>
    </xf>
    <xf numFmtId="17" fontId="2" fillId="0" borderId="31" xfId="14" applyNumberFormat="1" applyFont="1" applyBorder="1" applyAlignment="1">
      <alignment horizontal="center"/>
    </xf>
    <xf numFmtId="17" fontId="2" fillId="0" borderId="37" xfId="14" applyNumberFormat="1" applyFont="1" applyBorder="1" applyAlignment="1">
      <alignment horizontal="center"/>
    </xf>
    <xf numFmtId="168" fontId="3" fillId="0" borderId="0" xfId="16" applyNumberFormat="1" applyFont="1" applyFill="1" applyBorder="1" applyAlignment="1">
      <alignment horizontal="right" vertical="center" wrapText="1"/>
    </xf>
    <xf numFmtId="10" fontId="31" fillId="0" borderId="0" xfId="0" applyNumberFormat="1" applyFont="1"/>
    <xf numFmtId="0" fontId="9" fillId="11" borderId="0" xfId="0" applyFont="1" applyFill="1" applyAlignment="1">
      <alignment wrapText="1"/>
    </xf>
    <xf numFmtId="1" fontId="0" fillId="0" borderId="11" xfId="0" applyNumberFormat="1" applyBorder="1"/>
    <xf numFmtId="1" fontId="0" fillId="0" borderId="38" xfId="0" applyNumberFormat="1" applyBorder="1"/>
    <xf numFmtId="1" fontId="0" fillId="0" borderId="39" xfId="0" applyNumberFormat="1" applyBorder="1"/>
    <xf numFmtId="0" fontId="9" fillId="0" borderId="0" xfId="0" applyFont="1"/>
    <xf numFmtId="1" fontId="0" fillId="0" borderId="6" xfId="0" applyNumberFormat="1" applyBorder="1"/>
    <xf numFmtId="1" fontId="0" fillId="0" borderId="8" xfId="0" applyNumberFormat="1" applyBorder="1"/>
    <xf numFmtId="0" fontId="3" fillId="0" borderId="38" xfId="0" applyFont="1" applyBorder="1"/>
    <xf numFmtId="1" fontId="0" fillId="0" borderId="40" xfId="0" applyNumberFormat="1" applyBorder="1"/>
    <xf numFmtId="0" fontId="3" fillId="0" borderId="41" xfId="0" applyFont="1" applyBorder="1"/>
    <xf numFmtId="1" fontId="0" fillId="0" borderId="41" xfId="0" applyNumberFormat="1" applyBorder="1"/>
    <xf numFmtId="0" fontId="14" fillId="3" borderId="16" xfId="15" applyFont="1" applyFill="1" applyBorder="1" applyAlignment="1">
      <alignment horizontal="center" vertical="center" wrapText="1"/>
    </xf>
    <xf numFmtId="0" fontId="2" fillId="3" borderId="16" xfId="15" applyFont="1" applyFill="1" applyBorder="1" applyAlignment="1">
      <alignment horizontal="center"/>
    </xf>
    <xf numFmtId="0" fontId="2" fillId="3" borderId="16" xfId="15" applyFont="1" applyFill="1" applyBorder="1" applyAlignment="1">
      <alignment horizontal="center" vertical="center" wrapText="1"/>
    </xf>
    <xf numFmtId="0" fontId="2" fillId="0" borderId="0" xfId="15" applyFont="1" applyBorder="1"/>
    <xf numFmtId="0" fontId="0" fillId="0" borderId="0" xfId="0"/>
    <xf numFmtId="0" fontId="16" fillId="4" borderId="4" xfId="15" applyFont="1" applyFill="1" applyBorder="1" applyAlignment="1">
      <alignment horizontal="center" vertical="center" wrapText="1"/>
    </xf>
    <xf numFmtId="0" fontId="16" fillId="4" borderId="12" xfId="15" applyFont="1" applyFill="1" applyBorder="1" applyAlignment="1">
      <alignment horizontal="center" vertical="center" wrapText="1"/>
    </xf>
    <xf numFmtId="0" fontId="16" fillId="4" borderId="16" xfId="15" applyFont="1" applyFill="1" applyBorder="1" applyAlignment="1">
      <alignment horizontal="center"/>
    </xf>
    <xf numFmtId="0" fontId="2" fillId="0" borderId="4" xfId="18" applyFont="1" applyBorder="1" applyAlignment="1">
      <alignment horizontal="center" vertical="center" wrapText="1"/>
    </xf>
    <xf numFmtId="0" fontId="2" fillId="0" borderId="12" xfId="18" applyFont="1" applyBorder="1" applyAlignment="1">
      <alignment horizontal="center" vertical="center" wrapText="1"/>
    </xf>
    <xf numFmtId="0" fontId="25" fillId="6" borderId="13" xfId="18" applyFont="1" applyFill="1" applyBorder="1" applyAlignment="1">
      <alignment horizontal="center"/>
    </xf>
    <xf numFmtId="0" fontId="2" fillId="7" borderId="13" xfId="18" applyFont="1" applyFill="1" applyBorder="1" applyAlignment="1">
      <alignment horizontal="center"/>
    </xf>
    <xf numFmtId="0" fontId="2" fillId="7" borderId="14" xfId="18" applyFont="1" applyFill="1" applyBorder="1" applyAlignment="1">
      <alignment horizontal="center"/>
    </xf>
    <xf numFmtId="0" fontId="2" fillId="0" borderId="0" xfId="18" applyFont="1" applyBorder="1"/>
    <xf numFmtId="0" fontId="0" fillId="0" borderId="0" xfId="18" applyFont="1" applyBorder="1"/>
    <xf numFmtId="0" fontId="2" fillId="0" borderId="0" xfId="12" applyFont="1" applyBorder="1"/>
    <xf numFmtId="0" fontId="0" fillId="0" borderId="0" xfId="12" applyFont="1" applyBorder="1"/>
    <xf numFmtId="0" fontId="2" fillId="0" borderId="35" xfId="12" applyFont="1" applyBorder="1" applyAlignment="1">
      <alignment horizontal="center" vertical="center" wrapText="1"/>
    </xf>
    <xf numFmtId="0" fontId="2" fillId="0" borderId="36" xfId="12" applyFont="1" applyBorder="1" applyAlignment="1">
      <alignment horizontal="center" vertical="center" wrapText="1"/>
    </xf>
    <xf numFmtId="0" fontId="2" fillId="2" borderId="26" xfId="12" applyFont="1" applyFill="1" applyBorder="1" applyAlignment="1">
      <alignment horizontal="center"/>
    </xf>
    <xf numFmtId="0" fontId="2" fillId="2" borderId="13" xfId="12" applyFont="1" applyFill="1" applyBorder="1" applyAlignment="1">
      <alignment horizontal="center"/>
    </xf>
    <xf numFmtId="0" fontId="2" fillId="2" borderId="14" xfId="12" applyFont="1" applyFill="1" applyBorder="1" applyAlignment="1">
      <alignment horizontal="center"/>
    </xf>
    <xf numFmtId="0" fontId="2" fillId="0" borderId="5" xfId="18" applyFont="1" applyBorder="1" applyAlignment="1">
      <alignment horizontal="center" vertical="center" wrapText="1"/>
    </xf>
    <xf numFmtId="0" fontId="20" fillId="5" borderId="19" xfId="18" applyFont="1" applyFill="1" applyBorder="1" applyAlignment="1">
      <alignment horizontal="center"/>
    </xf>
    <xf numFmtId="0" fontId="2" fillId="0" borderId="20" xfId="18" applyFont="1" applyBorder="1" applyAlignment="1">
      <alignment horizontal="center" vertical="center" wrapText="1"/>
    </xf>
    <xf numFmtId="0" fontId="2" fillId="0" borderId="4" xfId="12" applyFont="1" applyBorder="1" applyAlignment="1">
      <alignment horizontal="center" vertical="center" wrapText="1"/>
    </xf>
    <xf numFmtId="0" fontId="2" fillId="0" borderId="12" xfId="12" applyFont="1" applyBorder="1" applyAlignment="1">
      <alignment horizontal="center" vertical="center" wrapText="1"/>
    </xf>
    <xf numFmtId="0" fontId="2" fillId="9" borderId="19" xfId="12" applyFont="1" applyFill="1" applyBorder="1" applyAlignment="1">
      <alignment horizontal="center"/>
    </xf>
    <xf numFmtId="0" fontId="2" fillId="0" borderId="0" xfId="1" applyFont="1" applyBorder="1"/>
    <xf numFmtId="0" fontId="0" fillId="0" borderId="0" xfId="1" applyFont="1" applyBorder="1"/>
    <xf numFmtId="0" fontId="2" fillId="0" borderId="7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8" borderId="26" xfId="1" applyFont="1" applyFill="1" applyBorder="1" applyAlignment="1">
      <alignment horizontal="center"/>
    </xf>
    <xf numFmtId="0" fontId="2" fillId="8" borderId="13" xfId="1" applyFont="1" applyFill="1" applyBorder="1" applyAlignment="1">
      <alignment horizontal="center"/>
    </xf>
    <xf numFmtId="0" fontId="2" fillId="8" borderId="14" xfId="1" applyFont="1" applyFill="1" applyBorder="1" applyAlignment="1">
      <alignment horizontal="center"/>
    </xf>
    <xf numFmtId="0" fontId="3" fillId="0" borderId="0" xfId="0" applyFont="1"/>
    <xf numFmtId="0" fontId="2" fillId="0" borderId="4" xfId="15" applyFont="1" applyBorder="1" applyAlignment="1">
      <alignment horizontal="center" vertical="center" wrapText="1"/>
    </xf>
    <xf numFmtId="0" fontId="2" fillId="0" borderId="12" xfId="15" applyFont="1" applyBorder="1" applyAlignment="1">
      <alignment horizontal="center" vertical="center" wrapText="1"/>
    </xf>
    <xf numFmtId="0" fontId="2" fillId="10" borderId="13" xfId="15" applyFont="1" applyFill="1" applyBorder="1" applyAlignment="1">
      <alignment horizontal="center"/>
    </xf>
    <xf numFmtId="0" fontId="2" fillId="10" borderId="14" xfId="15" applyFont="1" applyFill="1" applyBorder="1" applyAlignment="1">
      <alignment horizontal="center"/>
    </xf>
  </cellXfs>
  <cellStyles count="26">
    <cellStyle name="Cambiar to&amp;do" xfId="1" xr:uid="{00000000-0005-0000-0000-000000000000}"/>
    <cellStyle name="Cambiar to&amp;do 2" xfId="12" xr:uid="{00000000-0005-0000-0000-000001000000}"/>
    <cellStyle name="Cambiar to&amp;do 3" xfId="18" xr:uid="{00000000-0005-0000-0000-000002000000}"/>
    <cellStyle name="Cambiar to&amp;do 4" xfId="14" xr:uid="{00000000-0005-0000-0000-000003000000}"/>
    <cellStyle name="Euro" xfId="2" xr:uid="{00000000-0005-0000-0000-000004000000}"/>
    <cellStyle name="Millares" xfId="16" builtinId="3"/>
    <cellStyle name="Millares 2" xfId="3" xr:uid="{00000000-0005-0000-0000-000006000000}"/>
    <cellStyle name="Millares 2 2" xfId="21" xr:uid="{2F77E6A0-8B56-460C-A76E-F9B356917FC2}"/>
    <cellStyle name="Millares 3" xfId="17" xr:uid="{00000000-0005-0000-0000-000007000000}"/>
    <cellStyle name="Millares 3 2" xfId="25" xr:uid="{8739F1A7-302A-4578-8BF6-13072793EB8F}"/>
    <cellStyle name="Millares 4" xfId="24" xr:uid="{B24F7F25-A686-48FC-915E-B75C7AA887C8}"/>
    <cellStyle name="Moneda 2" xfId="4" xr:uid="{00000000-0005-0000-0000-000008000000}"/>
    <cellStyle name="Moneda 2 2" xfId="22" xr:uid="{CEFEA85D-9B63-4DA5-8B2F-AAA27D0E390E}"/>
    <cellStyle name="Normal" xfId="0" builtinId="0"/>
    <cellStyle name="Normal 10" xfId="20" xr:uid="{00000000-0005-0000-0000-00000A000000}"/>
    <cellStyle name="Normal 11" xfId="19" xr:uid="{00000000-0005-0000-0000-00000B000000}"/>
    <cellStyle name="Normal 2" xfId="5" xr:uid="{00000000-0005-0000-0000-00000C000000}"/>
    <cellStyle name="Normal 2 2" xfId="6" xr:uid="{00000000-0005-0000-0000-00000D000000}"/>
    <cellStyle name="Normal 3" xfId="7" xr:uid="{00000000-0005-0000-0000-00000E000000}"/>
    <cellStyle name="Normal_Argentina." xfId="8" xr:uid="{00000000-0005-0000-0000-00000F000000}"/>
    <cellStyle name="Normal_Bolivia." xfId="13" xr:uid="{00000000-0005-0000-0000-000010000000}"/>
    <cellStyle name="Normal_Colombia." xfId="15" xr:uid="{00000000-0005-0000-0000-000011000000}"/>
    <cellStyle name="Normal_México." xfId="9" xr:uid="{00000000-0005-0000-0000-000012000000}"/>
    <cellStyle name="Porcentual 2" xfId="10" xr:uid="{00000000-0005-0000-0000-000014000000}"/>
    <cellStyle name="Porcentual 2 2" xfId="23" xr:uid="{7CF8D797-C97E-403B-8A36-5C98D2E474BA}"/>
    <cellStyle name="Porcentual 3" xfId="11" xr:uid="{00000000-0005-0000-0000-000015000000}"/>
  </cellStyles>
  <dxfs count="0"/>
  <tableStyles count="0" defaultTableStyle="TableStyleMedium9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J65"/>
  <sheetViews>
    <sheetView tabSelected="1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20" sqref="K20"/>
    </sheetView>
  </sheetViews>
  <sheetFormatPr baseColWidth="10" defaultColWidth="9.5546875" defaultRowHeight="13.2" x14ac:dyDescent="0.25"/>
  <cols>
    <col min="1" max="1" width="9.5546875" style="8"/>
    <col min="2" max="2" width="14.5546875" style="8" customWidth="1"/>
    <col min="3" max="3" width="14.21875" style="8" customWidth="1"/>
    <col min="4" max="4" width="17.21875" style="8" customWidth="1"/>
    <col min="5" max="5" width="20.77734375" style="8" bestFit="1" customWidth="1"/>
    <col min="6" max="7" width="21.21875" style="8" customWidth="1"/>
    <col min="8" max="8" width="13.5546875" style="8" customWidth="1"/>
    <col min="9" max="9" width="14.21875" style="8" customWidth="1"/>
    <col min="10" max="10" width="17.21875" style="8" customWidth="1"/>
    <col min="11" max="11" width="20.77734375" style="8" bestFit="1" customWidth="1"/>
    <col min="12" max="12" width="21.21875" style="8" customWidth="1"/>
    <col min="13" max="13" width="14.5546875" style="8" customWidth="1"/>
    <col min="14" max="14" width="14.21875" style="8" customWidth="1"/>
    <col min="15" max="15" width="17.21875" style="8" customWidth="1"/>
    <col min="16" max="16" width="20.77734375" style="8" bestFit="1" customWidth="1"/>
    <col min="17" max="17" width="14.5546875" style="8" customWidth="1"/>
    <col min="18" max="18" width="18" style="8" customWidth="1"/>
    <col min="19" max="19" width="10.77734375" style="8" customWidth="1"/>
    <col min="20" max="20" width="14.21875" style="8" customWidth="1"/>
    <col min="21" max="21" width="17.21875" style="8" customWidth="1"/>
    <col min="22" max="22" width="20.77734375" style="8" bestFit="1" customWidth="1"/>
    <col min="23" max="24" width="21.21875" style="8" customWidth="1"/>
    <col min="25" max="25" width="14.5546875" style="8" customWidth="1"/>
    <col min="26" max="26" width="14.21875" style="8" customWidth="1"/>
    <col min="27" max="27" width="17.21875" style="8" customWidth="1"/>
    <col min="28" max="28" width="20.77734375" style="8" bestFit="1" customWidth="1"/>
    <col min="29" max="29" width="21.21875" style="8" customWidth="1"/>
    <col min="30" max="30" width="14.5546875" style="8" customWidth="1"/>
    <col min="31" max="31" width="14.21875" style="8" customWidth="1"/>
    <col min="32" max="32" width="17.21875" style="8" customWidth="1"/>
    <col min="33" max="33" width="20.77734375" style="8" bestFit="1" customWidth="1"/>
    <col min="34" max="34" width="21.21875" style="8" customWidth="1"/>
    <col min="35" max="36" width="20.21875" style="8" customWidth="1"/>
    <col min="37" max="16384" width="9.5546875" style="8"/>
  </cols>
  <sheetData>
    <row r="1" spans="1:36" ht="14.4" x14ac:dyDescent="0.3">
      <c r="A1" s="128" t="s">
        <v>0</v>
      </c>
      <c r="B1" s="129"/>
      <c r="C1"/>
      <c r="D1"/>
      <c r="E1"/>
      <c r="F1"/>
      <c r="G1"/>
    </row>
    <row r="2" spans="1:36" x14ac:dyDescent="0.25">
      <c r="A2" s="6" t="s">
        <v>1</v>
      </c>
    </row>
    <row r="3" spans="1:36" x14ac:dyDescent="0.25">
      <c r="A3" s="8" t="s">
        <v>2</v>
      </c>
    </row>
    <row r="4" spans="1:36" ht="13.8" thickBot="1" x14ac:dyDescent="0.3"/>
    <row r="5" spans="1:36" ht="15.75" customHeight="1" thickBot="1" x14ac:dyDescent="0.3">
      <c r="A5" s="127" t="s">
        <v>3</v>
      </c>
      <c r="B5" s="126" t="s">
        <v>4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</row>
    <row r="6" spans="1:36" s="10" customFormat="1" ht="16.5" customHeight="1" thickBot="1" x14ac:dyDescent="0.3">
      <c r="A6" s="127"/>
      <c r="B6" s="125" t="s">
        <v>5</v>
      </c>
      <c r="C6" s="125"/>
      <c r="D6" s="125"/>
      <c r="E6" s="125"/>
      <c r="F6" s="125"/>
      <c r="G6" s="125"/>
      <c r="H6" s="125" t="s">
        <v>6</v>
      </c>
      <c r="I6" s="125"/>
      <c r="J6" s="125"/>
      <c r="K6" s="125"/>
      <c r="L6" s="125"/>
      <c r="M6" s="125" t="s">
        <v>7</v>
      </c>
      <c r="N6" s="125"/>
      <c r="O6" s="125"/>
      <c r="P6" s="125"/>
      <c r="Q6" s="125"/>
      <c r="R6" s="125"/>
      <c r="S6" s="125" t="s">
        <v>8</v>
      </c>
      <c r="T6" s="125"/>
      <c r="U6" s="125"/>
      <c r="V6" s="125"/>
      <c r="W6" s="125"/>
      <c r="X6" s="125"/>
      <c r="Y6" s="125" t="s">
        <v>9</v>
      </c>
      <c r="Z6" s="125"/>
      <c r="AA6" s="125"/>
      <c r="AB6" s="125"/>
      <c r="AC6" s="125"/>
      <c r="AD6" s="125" t="s">
        <v>10</v>
      </c>
      <c r="AE6" s="125"/>
      <c r="AF6" s="125"/>
      <c r="AG6" s="125"/>
      <c r="AH6" s="125"/>
      <c r="AI6" s="125"/>
      <c r="AJ6" s="8"/>
    </row>
    <row r="7" spans="1:36" s="10" customFormat="1" ht="53.4" thickBot="1" x14ac:dyDescent="0.3">
      <c r="A7" s="11"/>
      <c r="B7" s="11" t="s">
        <v>11</v>
      </c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11</v>
      </c>
      <c r="N7" s="11" t="s">
        <v>12</v>
      </c>
      <c r="O7" s="11" t="s">
        <v>13</v>
      </c>
      <c r="P7" s="11" t="s">
        <v>14</v>
      </c>
      <c r="Q7" s="11" t="s">
        <v>15</v>
      </c>
      <c r="R7" s="11" t="s">
        <v>16</v>
      </c>
      <c r="S7" s="11" t="s">
        <v>11</v>
      </c>
      <c r="T7" s="11" t="s">
        <v>12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11</v>
      </c>
      <c r="Z7" s="11" t="s">
        <v>12</v>
      </c>
      <c r="AA7" s="11" t="s">
        <v>13</v>
      </c>
      <c r="AB7" s="11" t="s">
        <v>14</v>
      </c>
      <c r="AC7" s="11" t="s">
        <v>15</v>
      </c>
      <c r="AD7" s="11" t="s">
        <v>11</v>
      </c>
      <c r="AE7" s="11" t="s">
        <v>12</v>
      </c>
      <c r="AF7" s="11" t="s">
        <v>13</v>
      </c>
      <c r="AG7" s="11" t="s">
        <v>14</v>
      </c>
      <c r="AH7" s="11" t="s">
        <v>15</v>
      </c>
      <c r="AI7" s="11" t="s">
        <v>15</v>
      </c>
      <c r="AJ7" s="8"/>
    </row>
    <row r="8" spans="1:36" s="75" customFormat="1" ht="13.8" x14ac:dyDescent="0.25">
      <c r="A8" s="7">
        <v>45170</v>
      </c>
      <c r="B8" s="12">
        <v>202092</v>
      </c>
      <c r="C8" s="12">
        <v>105247</v>
      </c>
      <c r="D8" s="12">
        <v>1137566</v>
      </c>
      <c r="E8" s="73">
        <v>106958</v>
      </c>
      <c r="F8" s="12">
        <v>72</v>
      </c>
      <c r="G8" s="12">
        <v>188251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875156</v>
      </c>
      <c r="N8" s="12">
        <v>375316</v>
      </c>
      <c r="O8" s="12">
        <v>9013566</v>
      </c>
      <c r="P8" s="12">
        <v>431448</v>
      </c>
      <c r="Q8" s="12">
        <v>8</v>
      </c>
      <c r="R8" s="12">
        <v>808943</v>
      </c>
      <c r="S8" s="12">
        <v>473990</v>
      </c>
      <c r="T8" s="12">
        <v>201913</v>
      </c>
      <c r="U8" s="12">
        <v>4231027</v>
      </c>
      <c r="V8" s="12">
        <v>226400</v>
      </c>
      <c r="W8" s="12">
        <v>401</v>
      </c>
      <c r="X8" s="12">
        <v>463248</v>
      </c>
      <c r="Y8" s="16" t="s">
        <v>17</v>
      </c>
      <c r="Z8" s="16" t="s">
        <v>17</v>
      </c>
      <c r="AA8" s="16" t="s">
        <v>17</v>
      </c>
      <c r="AB8" s="16" t="s">
        <v>17</v>
      </c>
      <c r="AC8" s="16" t="s">
        <v>17</v>
      </c>
      <c r="AD8" s="12">
        <v>18334</v>
      </c>
      <c r="AE8" s="14">
        <v>7067</v>
      </c>
      <c r="AF8" s="14">
        <v>80473</v>
      </c>
      <c r="AG8" s="13">
        <v>6008</v>
      </c>
      <c r="AH8" s="13">
        <v>74</v>
      </c>
      <c r="AI8" s="16">
        <v>14735</v>
      </c>
      <c r="AJ8" s="74"/>
    </row>
    <row r="9" spans="1:36" s="75" customFormat="1" ht="13.8" x14ac:dyDescent="0.25">
      <c r="A9" s="7">
        <v>45261</v>
      </c>
      <c r="B9" s="12">
        <v>204420</v>
      </c>
      <c r="C9" s="12">
        <v>108189</v>
      </c>
      <c r="D9" s="12">
        <v>1123797</v>
      </c>
      <c r="E9" s="73">
        <v>107675</v>
      </c>
      <c r="F9" s="12">
        <v>77</v>
      </c>
      <c r="G9" s="12">
        <v>190384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889547</v>
      </c>
      <c r="N9" s="12">
        <v>384754</v>
      </c>
      <c r="O9" s="12">
        <v>9031370</v>
      </c>
      <c r="P9" s="12">
        <v>436745</v>
      </c>
      <c r="Q9" s="12">
        <v>5</v>
      </c>
      <c r="R9" s="12">
        <v>823526</v>
      </c>
      <c r="S9" s="12">
        <v>482396</v>
      </c>
      <c r="T9" s="12">
        <v>208034</v>
      </c>
      <c r="U9" s="12">
        <v>4217761</v>
      </c>
      <c r="V9" s="12">
        <v>229042</v>
      </c>
      <c r="W9" s="12">
        <v>405</v>
      </c>
      <c r="X9" s="12">
        <v>470287</v>
      </c>
      <c r="Y9" s="16" t="s">
        <v>17</v>
      </c>
      <c r="Z9" s="16" t="s">
        <v>17</v>
      </c>
      <c r="AA9" s="16" t="s">
        <v>17</v>
      </c>
      <c r="AB9" s="16" t="s">
        <v>17</v>
      </c>
      <c r="AC9" s="16" t="s">
        <v>17</v>
      </c>
      <c r="AD9" s="12">
        <v>18554</v>
      </c>
      <c r="AE9" s="14">
        <v>7091</v>
      </c>
      <c r="AF9" s="14">
        <v>80766</v>
      </c>
      <c r="AG9" s="13">
        <v>6029</v>
      </c>
      <c r="AH9" s="13">
        <v>77</v>
      </c>
      <c r="AI9" s="16">
        <v>14935</v>
      </c>
      <c r="AJ9" s="74"/>
    </row>
    <row r="10" spans="1:36" s="75" customFormat="1" ht="13.8" x14ac:dyDescent="0.25">
      <c r="A10" s="7">
        <v>45352</v>
      </c>
      <c r="B10" s="12">
        <v>206140</v>
      </c>
      <c r="C10" s="12">
        <v>110523</v>
      </c>
      <c r="D10" s="12">
        <v>1110738</v>
      </c>
      <c r="E10" s="73">
        <v>108533</v>
      </c>
      <c r="F10" s="12">
        <v>86</v>
      </c>
      <c r="G10" s="12">
        <v>191979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900730</v>
      </c>
      <c r="N10" s="12">
        <v>395112</v>
      </c>
      <c r="O10" s="12">
        <v>9055917</v>
      </c>
      <c r="P10" s="12">
        <v>442688</v>
      </c>
      <c r="Q10" s="12">
        <v>6</v>
      </c>
      <c r="R10" s="12">
        <v>834785</v>
      </c>
      <c r="S10" s="12">
        <v>489089</v>
      </c>
      <c r="T10" s="12">
        <v>213733</v>
      </c>
      <c r="U10" s="12">
        <v>4211901</v>
      </c>
      <c r="V10" s="12">
        <v>231828</v>
      </c>
      <c r="W10" s="12">
        <v>430</v>
      </c>
      <c r="X10" s="12">
        <v>476951</v>
      </c>
      <c r="Y10" s="16" t="s">
        <v>17</v>
      </c>
      <c r="Z10" s="16" t="s">
        <v>17</v>
      </c>
      <c r="AA10" s="16" t="s">
        <v>17</v>
      </c>
      <c r="AB10" s="16" t="s">
        <v>17</v>
      </c>
      <c r="AC10" s="16" t="s">
        <v>17</v>
      </c>
      <c r="AD10" s="12">
        <v>18588</v>
      </c>
      <c r="AE10" s="14">
        <v>7174</v>
      </c>
      <c r="AF10" s="14">
        <v>80636</v>
      </c>
      <c r="AG10" s="13">
        <v>6047</v>
      </c>
      <c r="AH10" s="13">
        <v>78</v>
      </c>
      <c r="AI10" s="16">
        <v>15122</v>
      </c>
      <c r="AJ10" s="74"/>
    </row>
    <row r="11" spans="1:36" s="75" customFormat="1" ht="13.8" x14ac:dyDescent="0.25">
      <c r="A11" s="7">
        <v>45444</v>
      </c>
      <c r="B11" s="12">
        <v>207574</v>
      </c>
      <c r="C11" s="12">
        <v>112725</v>
      </c>
      <c r="D11" s="12">
        <v>1095586</v>
      </c>
      <c r="E11" s="73">
        <v>109175</v>
      </c>
      <c r="F11" s="12">
        <v>83</v>
      </c>
      <c r="G11" s="12">
        <v>193400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910943</v>
      </c>
      <c r="N11" s="12">
        <v>403979</v>
      </c>
      <c r="O11" s="12">
        <v>9069919</v>
      </c>
      <c r="P11" s="12">
        <v>447867</v>
      </c>
      <c r="Q11" s="12">
        <v>9</v>
      </c>
      <c r="R11" s="12">
        <v>846368</v>
      </c>
      <c r="S11" s="12">
        <v>495435</v>
      </c>
      <c r="T11" s="12">
        <v>218512</v>
      </c>
      <c r="U11" s="12">
        <v>4194560</v>
      </c>
      <c r="V11" s="12">
        <v>234386</v>
      </c>
      <c r="W11" s="12">
        <v>444</v>
      </c>
      <c r="X11" s="12">
        <v>482595</v>
      </c>
      <c r="Y11" s="16" t="s">
        <v>17</v>
      </c>
      <c r="Z11" s="16" t="s">
        <v>17</v>
      </c>
      <c r="AA11" s="16" t="s">
        <v>17</v>
      </c>
      <c r="AB11" s="16" t="s">
        <v>17</v>
      </c>
      <c r="AC11" s="16" t="s">
        <v>17</v>
      </c>
      <c r="AD11" s="12">
        <v>18668</v>
      </c>
      <c r="AE11" s="14">
        <v>7213</v>
      </c>
      <c r="AF11" s="14">
        <v>80545</v>
      </c>
      <c r="AG11" s="13">
        <v>5916</v>
      </c>
      <c r="AH11" s="13">
        <v>197</v>
      </c>
      <c r="AI11" s="16">
        <v>15376</v>
      </c>
      <c r="AJ11" s="74"/>
    </row>
    <row r="12" spans="1:36" s="75" customFormat="1" ht="13.8" x14ac:dyDescent="0.25">
      <c r="A12" s="7">
        <v>45536</v>
      </c>
      <c r="B12" s="12">
        <v>212234</v>
      </c>
      <c r="C12" s="12">
        <v>114531</v>
      </c>
      <c r="D12" s="12">
        <v>1080936</v>
      </c>
      <c r="E12" s="73">
        <v>109869</v>
      </c>
      <c r="F12" s="12">
        <v>92</v>
      </c>
      <c r="G12" s="12">
        <v>192958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922772</v>
      </c>
      <c r="N12" s="12">
        <v>412396</v>
      </c>
      <c r="O12" s="12">
        <v>9072018</v>
      </c>
      <c r="P12" s="12">
        <v>453263</v>
      </c>
      <c r="Q12" s="12">
        <v>10</v>
      </c>
      <c r="R12" s="12">
        <v>858947</v>
      </c>
      <c r="S12" s="12">
        <v>502505</v>
      </c>
      <c r="T12" s="12">
        <v>223490</v>
      </c>
      <c r="U12" s="12">
        <v>4184988</v>
      </c>
      <c r="V12" s="12">
        <v>237203</v>
      </c>
      <c r="W12" s="12">
        <v>465</v>
      </c>
      <c r="X12" s="12">
        <v>489403</v>
      </c>
      <c r="Y12" s="16" t="s">
        <v>17</v>
      </c>
      <c r="Z12" s="16" t="s">
        <v>17</v>
      </c>
      <c r="AA12" s="16" t="s">
        <v>17</v>
      </c>
      <c r="AB12" s="16" t="s">
        <v>17</v>
      </c>
      <c r="AC12" s="16" t="s">
        <v>17</v>
      </c>
      <c r="AD12" s="12">
        <v>18803</v>
      </c>
      <c r="AE12" s="14">
        <v>7144</v>
      </c>
      <c r="AF12" s="14">
        <v>81542</v>
      </c>
      <c r="AG12" s="13">
        <v>6078</v>
      </c>
      <c r="AH12" s="13">
        <v>85</v>
      </c>
      <c r="AI12" s="16">
        <v>15554</v>
      </c>
      <c r="AJ12" s="74"/>
    </row>
    <row r="13" spans="1:36" s="75" customFormat="1" ht="13.8" x14ac:dyDescent="0.25">
      <c r="A13" s="7">
        <v>45627</v>
      </c>
      <c r="B13" s="12">
        <v>213835</v>
      </c>
      <c r="C13" s="12">
        <v>114539</v>
      </c>
      <c r="D13" s="12">
        <v>1066466</v>
      </c>
      <c r="E13" s="73">
        <v>109301</v>
      </c>
      <c r="F13" s="12">
        <v>88</v>
      </c>
      <c r="G13" s="12">
        <v>195573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933628</v>
      </c>
      <c r="N13" s="12">
        <v>410480</v>
      </c>
      <c r="O13" s="12">
        <v>9078247</v>
      </c>
      <c r="P13" s="12">
        <v>454788</v>
      </c>
      <c r="Q13" s="12">
        <v>4</v>
      </c>
      <c r="R13" s="12">
        <v>872956</v>
      </c>
      <c r="S13" s="12">
        <v>509239</v>
      </c>
      <c r="T13" s="12">
        <v>226067</v>
      </c>
      <c r="U13" s="12">
        <v>4161742</v>
      </c>
      <c r="V13" s="12">
        <v>237860</v>
      </c>
      <c r="W13" s="12">
        <v>446</v>
      </c>
      <c r="X13" s="12">
        <v>496502</v>
      </c>
      <c r="Y13" s="16" t="s">
        <v>17</v>
      </c>
      <c r="Z13" s="16" t="s">
        <v>17</v>
      </c>
      <c r="AA13" s="16" t="s">
        <v>17</v>
      </c>
      <c r="AB13" s="16" t="s">
        <v>17</v>
      </c>
      <c r="AC13" s="16" t="s">
        <v>17</v>
      </c>
      <c r="AD13" s="12">
        <v>18850</v>
      </c>
      <c r="AE13" s="14">
        <v>7010</v>
      </c>
      <c r="AF13" s="14">
        <v>81336</v>
      </c>
      <c r="AG13" s="13">
        <v>5890</v>
      </c>
      <c r="AH13" s="13">
        <v>75</v>
      </c>
      <c r="AI13" s="16">
        <v>15645</v>
      </c>
      <c r="AJ13" s="74"/>
    </row>
    <row r="14" spans="1:36" ht="13.8" x14ac:dyDescent="0.25">
      <c r="A14" s="7">
        <v>45717</v>
      </c>
      <c r="B14" s="12">
        <v>215082</v>
      </c>
      <c r="C14" s="12">
        <v>114853</v>
      </c>
      <c r="D14" s="12">
        <v>1051385</v>
      </c>
      <c r="E14" s="73">
        <v>108951</v>
      </c>
      <c r="F14" s="12">
        <v>86</v>
      </c>
      <c r="G14" s="12">
        <v>196823</v>
      </c>
      <c r="H14" s="12"/>
      <c r="I14" s="12"/>
      <c r="J14" s="12"/>
      <c r="K14" s="12"/>
      <c r="L14" s="12"/>
      <c r="M14" s="12">
        <v>943007</v>
      </c>
      <c r="N14" s="12">
        <v>413809</v>
      </c>
      <c r="O14" s="12">
        <v>9089815</v>
      </c>
      <c r="P14" s="12">
        <v>456854</v>
      </c>
      <c r="Q14" s="12">
        <v>8</v>
      </c>
      <c r="R14" s="12">
        <v>883004</v>
      </c>
      <c r="S14" s="12">
        <v>513886</v>
      </c>
      <c r="T14" s="12">
        <v>229176</v>
      </c>
      <c r="U14" s="12">
        <v>4141432</v>
      </c>
      <c r="V14" s="12">
        <v>238691</v>
      </c>
      <c r="W14" s="12">
        <v>443</v>
      </c>
      <c r="X14" s="12">
        <v>502055</v>
      </c>
      <c r="Y14" s="16"/>
      <c r="Z14" s="16"/>
      <c r="AA14" s="16"/>
      <c r="AB14" s="16"/>
      <c r="AC14" s="16"/>
      <c r="AD14" s="12">
        <v>18897</v>
      </c>
      <c r="AE14" s="14">
        <v>6306</v>
      </c>
      <c r="AF14" s="14">
        <v>82103</v>
      </c>
      <c r="AG14" s="13">
        <v>5628</v>
      </c>
      <c r="AH14" s="13">
        <v>66</v>
      </c>
      <c r="AI14" s="16">
        <v>15684</v>
      </c>
    </row>
    <row r="15" spans="1:36" ht="13.8" x14ac:dyDescent="0.25">
      <c r="A15" s="7">
        <v>45809</v>
      </c>
      <c r="B15" s="12"/>
      <c r="C15" s="12"/>
      <c r="D15" s="12"/>
      <c r="E15" s="7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6"/>
      <c r="Z15" s="16"/>
      <c r="AA15" s="16"/>
      <c r="AB15" s="16"/>
      <c r="AC15" s="16"/>
      <c r="AD15" s="12"/>
      <c r="AE15" s="14"/>
      <c r="AF15" s="14"/>
      <c r="AG15" s="13"/>
      <c r="AH15" s="13"/>
      <c r="AI15" s="16"/>
    </row>
    <row r="16" spans="1:36" x14ac:dyDescent="0.2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5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5" x14ac:dyDescent="0.25">
      <c r="A18" s="17" t="s">
        <v>18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5" x14ac:dyDescent="0.25">
      <c r="A19" s="17" t="s">
        <v>19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5" x14ac:dyDescent="0.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5" x14ac:dyDescent="0.2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5" x14ac:dyDescent="0.25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5" x14ac:dyDescent="0.25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5" ht="14.4" x14ac:dyDescent="0.3">
      <c r="B24" s="15"/>
      <c r="C24" s="15"/>
      <c r="D24" s="15"/>
      <c r="E24" s="15"/>
      <c r="F24" s="15"/>
      <c r="G24" s="15"/>
      <c r="H24" s="15"/>
      <c r="I24"/>
      <c r="J2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5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5" x14ac:dyDescent="0.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5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5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5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2:35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2:35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2:35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2:35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spans="2:35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2:35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spans="2:35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2:35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spans="2:35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spans="2:35" x14ac:dyDescent="0.2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spans="2:35" x14ac:dyDescent="0.2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2:35" x14ac:dyDescent="0.2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2:35" x14ac:dyDescent="0.2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2:35" x14ac:dyDescent="0.2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2:35" x14ac:dyDescent="0.25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2:35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2:30" x14ac:dyDescent="0.2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2:30" x14ac:dyDescent="0.2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2:30" x14ac:dyDescent="0.2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2:30" x14ac:dyDescent="0.25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2:30" x14ac:dyDescent="0.25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2:30" x14ac:dyDescent="0.25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2:30" x14ac:dyDescent="0.2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2:30" x14ac:dyDescent="0.25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2:30" x14ac:dyDescent="0.25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2:30" x14ac:dyDescent="0.25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2:30" x14ac:dyDescent="0.2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2:30" x14ac:dyDescent="0.25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2:30" x14ac:dyDescent="0.2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2:30" x14ac:dyDescent="0.25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2:30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2:30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2:30" x14ac:dyDescent="0.2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</sheetData>
  <mergeCells count="9">
    <mergeCell ref="AD6:AI6"/>
    <mergeCell ref="B5:AI5"/>
    <mergeCell ref="A5:A6"/>
    <mergeCell ref="A1:B1"/>
    <mergeCell ref="H6:L6"/>
    <mergeCell ref="Y6:AC6"/>
    <mergeCell ref="M6:R6"/>
    <mergeCell ref="B6:G6"/>
    <mergeCell ref="S6:X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23"/>
  <sheetViews>
    <sheetView zoomScale="80" zoomScaleNormal="80" workbookViewId="0">
      <pane ySplit="6" topLeftCell="A7" activePane="bottomLeft" state="frozen"/>
      <selection pane="bottomLeft" activeCell="F23" sqref="F22:H23"/>
    </sheetView>
  </sheetViews>
  <sheetFormatPr baseColWidth="10" defaultColWidth="11.44140625" defaultRowHeight="13.2" x14ac:dyDescent="0.25"/>
  <cols>
    <col min="1" max="1" width="11.44140625" style="8"/>
    <col min="2" max="3" width="11.5546875" style="8" bestFit="1" customWidth="1"/>
    <col min="4" max="5" width="12.77734375" style="8" bestFit="1" customWidth="1"/>
    <col min="6" max="7" width="11.5546875" style="8" bestFit="1" customWidth="1"/>
    <col min="8" max="8" width="11.44140625" style="8" customWidth="1"/>
    <col min="9" max="16384" width="11.44140625" style="8"/>
  </cols>
  <sheetData>
    <row r="1" spans="1:7" x14ac:dyDescent="0.25">
      <c r="A1" s="128" t="s">
        <v>0</v>
      </c>
      <c r="B1" s="128"/>
    </row>
    <row r="2" spans="1:7" x14ac:dyDescent="0.25">
      <c r="A2" s="19" t="s">
        <v>20</v>
      </c>
      <c r="B2" s="20"/>
      <c r="C2" s="20"/>
      <c r="D2" s="20"/>
    </row>
    <row r="3" spans="1:7" x14ac:dyDescent="0.25">
      <c r="A3" s="8" t="s">
        <v>2</v>
      </c>
    </row>
    <row r="4" spans="1:7" ht="13.8" thickBot="1" x14ac:dyDescent="0.3">
      <c r="A4" s="9"/>
      <c r="B4" s="9"/>
      <c r="C4" s="9"/>
      <c r="D4" s="9"/>
      <c r="E4" s="9"/>
      <c r="F4" s="9"/>
      <c r="G4" s="9"/>
    </row>
    <row r="5" spans="1:7" ht="13.8" thickBot="1" x14ac:dyDescent="0.3">
      <c r="A5" s="130" t="s">
        <v>3</v>
      </c>
      <c r="B5" s="132" t="s">
        <v>4</v>
      </c>
      <c r="C5" s="132"/>
      <c r="D5" s="132"/>
      <c r="E5" s="132"/>
      <c r="F5" s="132"/>
      <c r="G5" s="132"/>
    </row>
    <row r="6" spans="1:7" ht="13.8" thickBot="1" x14ac:dyDescent="0.3">
      <c r="A6" s="131"/>
      <c r="B6" s="21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1" t="s">
        <v>10</v>
      </c>
    </row>
    <row r="7" spans="1:7" x14ac:dyDescent="0.25">
      <c r="A7" s="1">
        <v>45170</v>
      </c>
      <c r="B7" s="22">
        <v>701486</v>
      </c>
      <c r="C7" s="22" t="s">
        <v>17</v>
      </c>
      <c r="D7" s="22">
        <v>4355930</v>
      </c>
      <c r="E7" s="22">
        <v>2353935</v>
      </c>
      <c r="F7" s="22" t="s">
        <v>17</v>
      </c>
      <c r="G7" s="22">
        <v>83461</v>
      </c>
    </row>
    <row r="8" spans="1:7" x14ac:dyDescent="0.25">
      <c r="A8" s="1">
        <v>45261</v>
      </c>
      <c r="B8" s="22">
        <v>720092</v>
      </c>
      <c r="C8" s="22" t="s">
        <v>17</v>
      </c>
      <c r="D8" s="22">
        <v>4415849</v>
      </c>
      <c r="E8" s="22">
        <v>2433086</v>
      </c>
      <c r="F8" s="22" t="s">
        <v>17</v>
      </c>
      <c r="G8" s="22">
        <v>84228</v>
      </c>
    </row>
    <row r="9" spans="1:7" x14ac:dyDescent="0.25">
      <c r="A9" s="1">
        <v>45352</v>
      </c>
      <c r="B9" s="22">
        <v>677733</v>
      </c>
      <c r="C9" s="22" t="s">
        <v>17</v>
      </c>
      <c r="D9" s="22">
        <v>4290031</v>
      </c>
      <c r="E9" s="22">
        <v>2333318</v>
      </c>
      <c r="F9" s="22" t="s">
        <v>17</v>
      </c>
      <c r="G9" s="22">
        <v>76013</v>
      </c>
    </row>
    <row r="10" spans="1:7" x14ac:dyDescent="0.25">
      <c r="A10" s="1">
        <v>45444</v>
      </c>
      <c r="B10" s="22">
        <v>680366</v>
      </c>
      <c r="C10" s="22" t="s">
        <v>17</v>
      </c>
      <c r="D10" s="22">
        <v>4400331</v>
      </c>
      <c r="E10" s="22">
        <v>2329201</v>
      </c>
      <c r="F10" s="22" t="s">
        <v>17</v>
      </c>
      <c r="G10" s="22">
        <v>84087</v>
      </c>
    </row>
    <row r="11" spans="1:7" x14ac:dyDescent="0.25">
      <c r="A11" s="1">
        <v>45536</v>
      </c>
      <c r="B11" s="22">
        <v>685167</v>
      </c>
      <c r="C11" s="22"/>
      <c r="D11" s="22">
        <v>4446019</v>
      </c>
      <c r="E11" s="22">
        <v>2386515</v>
      </c>
      <c r="F11" s="22"/>
      <c r="G11" s="22">
        <v>79101</v>
      </c>
    </row>
    <row r="12" spans="1:7" x14ac:dyDescent="0.25">
      <c r="A12" s="1">
        <v>45627</v>
      </c>
      <c r="B12" s="22">
        <v>672990</v>
      </c>
      <c r="C12" s="22"/>
      <c r="D12" s="22">
        <v>4405005</v>
      </c>
      <c r="E12" s="22">
        <v>2426666</v>
      </c>
      <c r="F12" s="22"/>
      <c r="G12" s="22">
        <v>80639</v>
      </c>
    </row>
    <row r="13" spans="1:7" x14ac:dyDescent="0.25">
      <c r="A13" s="1">
        <v>45717</v>
      </c>
      <c r="B13" s="22">
        <v>658865</v>
      </c>
      <c r="C13" s="22"/>
      <c r="D13" s="22">
        <v>4383569</v>
      </c>
      <c r="E13" s="22">
        <v>2354244</v>
      </c>
      <c r="F13" s="22"/>
      <c r="G13" s="22">
        <v>60686</v>
      </c>
    </row>
    <row r="14" spans="1:7" x14ac:dyDescent="0.25">
      <c r="A14" s="1">
        <v>45809</v>
      </c>
      <c r="B14" s="22">
        <v>652957</v>
      </c>
      <c r="C14" s="22"/>
      <c r="D14" s="22">
        <v>4465257</v>
      </c>
      <c r="E14" s="22">
        <v>2360874</v>
      </c>
      <c r="F14" s="22"/>
      <c r="G14" s="22">
        <v>72819</v>
      </c>
    </row>
    <row r="15" spans="1:7" x14ac:dyDescent="0.25">
      <c r="A15" s="1"/>
      <c r="B15" s="112"/>
      <c r="C15" s="112"/>
      <c r="D15" s="112"/>
      <c r="E15" s="112"/>
      <c r="F15" s="112"/>
      <c r="G15" s="112"/>
    </row>
    <row r="16" spans="1:7" x14ac:dyDescent="0.25">
      <c r="A16" s="23" t="s">
        <v>18</v>
      </c>
    </row>
    <row r="17" spans="1:8" x14ac:dyDescent="0.25">
      <c r="A17" s="23" t="s">
        <v>21</v>
      </c>
    </row>
    <row r="18" spans="1:8" x14ac:dyDescent="0.25">
      <c r="A18" s="23" t="s">
        <v>19</v>
      </c>
    </row>
    <row r="19" spans="1:8" x14ac:dyDescent="0.25">
      <c r="A19" s="24" t="s">
        <v>22</v>
      </c>
    </row>
    <row r="22" spans="1:8" ht="14.4" x14ac:dyDescent="0.3">
      <c r="F22"/>
      <c r="G22"/>
      <c r="H22"/>
    </row>
    <row r="23" spans="1:8" ht="14.4" x14ac:dyDescent="0.3">
      <c r="F23"/>
      <c r="G23"/>
      <c r="H23"/>
    </row>
  </sheetData>
  <mergeCells count="3">
    <mergeCell ref="A1:B1"/>
    <mergeCell ref="A5:A6"/>
    <mergeCell ref="B5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N23"/>
  <sheetViews>
    <sheetView zoomScale="110" zoomScaleNormal="110" workbookViewId="0">
      <pane ySplit="6" topLeftCell="A7" activePane="bottomLeft" state="frozen"/>
      <selection pane="bottomLeft" activeCell="AJ13" sqref="AJ13"/>
    </sheetView>
  </sheetViews>
  <sheetFormatPr baseColWidth="10" defaultColWidth="11.44140625" defaultRowHeight="14.4" x14ac:dyDescent="0.3"/>
  <cols>
    <col min="2" max="2" width="15" bestFit="1" customWidth="1"/>
    <col min="9" max="9" width="21.5546875" customWidth="1"/>
    <col min="11" max="11" width="12.5546875" bestFit="1" customWidth="1"/>
    <col min="18" max="18" width="0" hidden="1" customWidth="1"/>
    <col min="27" max="27" width="0" hidden="1" customWidth="1"/>
  </cols>
  <sheetData>
    <row r="1" spans="1:36" x14ac:dyDescent="0.3">
      <c r="A1" s="138" t="s">
        <v>0</v>
      </c>
      <c r="B1" s="139"/>
      <c r="C1" s="25"/>
      <c r="D1" s="25"/>
      <c r="E1" s="25"/>
      <c r="F1" s="25"/>
      <c r="G1" s="25"/>
    </row>
    <row r="2" spans="1:36" x14ac:dyDescent="0.3">
      <c r="A2" s="26" t="s">
        <v>23</v>
      </c>
      <c r="B2" s="27"/>
      <c r="C2" s="27"/>
      <c r="D2" s="27"/>
      <c r="E2" s="25"/>
      <c r="F2" s="25"/>
      <c r="G2" s="25"/>
    </row>
    <row r="3" spans="1:36" x14ac:dyDescent="0.3">
      <c r="A3" s="39" t="s">
        <v>24</v>
      </c>
      <c r="B3" s="25"/>
      <c r="C3" s="25"/>
      <c r="D3" s="25"/>
      <c r="E3" s="25"/>
      <c r="F3" s="25"/>
      <c r="G3" s="40"/>
    </row>
    <row r="4" spans="1:36" ht="15" thickBot="1" x14ac:dyDescent="0.35">
      <c r="A4" s="25"/>
      <c r="B4" s="41"/>
      <c r="C4" s="41"/>
      <c r="D4" s="25"/>
      <c r="E4" s="25"/>
      <c r="F4" s="25"/>
      <c r="G4" s="25"/>
    </row>
    <row r="5" spans="1:36" x14ac:dyDescent="0.3">
      <c r="A5" s="133" t="s">
        <v>3</v>
      </c>
      <c r="B5" s="135" t="s">
        <v>25</v>
      </c>
      <c r="C5" s="135"/>
      <c r="D5" s="135"/>
      <c r="E5" s="135"/>
      <c r="F5" s="136"/>
      <c r="G5" s="137"/>
      <c r="J5" s="133" t="s">
        <v>3</v>
      </c>
      <c r="K5" s="135" t="s">
        <v>26</v>
      </c>
      <c r="L5" s="135"/>
      <c r="M5" s="135"/>
      <c r="N5" s="135"/>
      <c r="O5" s="136"/>
      <c r="P5" s="137"/>
      <c r="S5" s="133" t="s">
        <v>3</v>
      </c>
      <c r="T5" s="135" t="s">
        <v>27</v>
      </c>
      <c r="U5" s="135"/>
      <c r="V5" s="135"/>
      <c r="W5" s="135"/>
      <c r="X5" s="136"/>
      <c r="Y5" s="137"/>
      <c r="AB5" s="133" t="s">
        <v>3</v>
      </c>
      <c r="AC5" s="135" t="s">
        <v>28</v>
      </c>
      <c r="AD5" s="135"/>
      <c r="AE5" s="135"/>
      <c r="AF5" s="135"/>
      <c r="AG5" s="136"/>
      <c r="AH5" s="137"/>
    </row>
    <row r="6" spans="1:36" ht="26.25" customHeight="1" thickBot="1" x14ac:dyDescent="0.35">
      <c r="A6" s="134"/>
      <c r="B6" s="42" t="s">
        <v>5</v>
      </c>
      <c r="C6" s="43" t="s">
        <v>6</v>
      </c>
      <c r="D6" s="43" t="s">
        <v>7</v>
      </c>
      <c r="E6" s="43" t="s">
        <v>8</v>
      </c>
      <c r="F6" s="43" t="s">
        <v>29</v>
      </c>
      <c r="G6" s="44" t="s">
        <v>10</v>
      </c>
      <c r="J6" s="134"/>
      <c r="K6" s="42" t="s">
        <v>5</v>
      </c>
      <c r="L6" s="43" t="s">
        <v>6</v>
      </c>
      <c r="M6" s="43" t="s">
        <v>7</v>
      </c>
      <c r="N6" s="43" t="s">
        <v>8</v>
      </c>
      <c r="O6" s="43" t="s">
        <v>29</v>
      </c>
      <c r="P6" s="44" t="s">
        <v>10</v>
      </c>
      <c r="S6" s="134"/>
      <c r="T6" s="45" t="s">
        <v>5</v>
      </c>
      <c r="U6" s="46" t="s">
        <v>6</v>
      </c>
      <c r="V6" s="47" t="s">
        <v>7</v>
      </c>
      <c r="W6" s="47" t="s">
        <v>8</v>
      </c>
      <c r="X6" s="46" t="s">
        <v>29</v>
      </c>
      <c r="Y6" s="48" t="s">
        <v>10</v>
      </c>
      <c r="AB6" s="134"/>
      <c r="AC6" s="34" t="s">
        <v>5</v>
      </c>
      <c r="AD6" s="34" t="s">
        <v>6</v>
      </c>
      <c r="AE6" s="34" t="s">
        <v>7</v>
      </c>
      <c r="AF6" s="34" t="s">
        <v>8</v>
      </c>
      <c r="AG6" s="34" t="s">
        <v>29</v>
      </c>
      <c r="AH6" s="34" t="s">
        <v>10</v>
      </c>
    </row>
    <row r="7" spans="1:36" s="76" customFormat="1" ht="15" customHeight="1" x14ac:dyDescent="0.3">
      <c r="A7" s="35">
        <v>45199</v>
      </c>
      <c r="B7" s="85">
        <v>6584.7238801261046</v>
      </c>
      <c r="C7" s="88">
        <v>0</v>
      </c>
      <c r="D7" s="86">
        <v>26001.330044501894</v>
      </c>
      <c r="E7" s="88">
        <v>18974.970535724857</v>
      </c>
      <c r="F7" s="88">
        <v>0</v>
      </c>
      <c r="G7" s="87">
        <v>2740.0906970318915</v>
      </c>
      <c r="H7" s="102"/>
      <c r="I7" s="84"/>
      <c r="J7" s="35">
        <v>45199</v>
      </c>
      <c r="K7" s="85">
        <v>1323.7925145297204</v>
      </c>
      <c r="L7" s="88">
        <v>0</v>
      </c>
      <c r="M7" s="86">
        <v>4056.7816664775414</v>
      </c>
      <c r="N7" s="88">
        <v>2602.9526467773126</v>
      </c>
      <c r="O7" s="88">
        <v>0</v>
      </c>
      <c r="P7" s="87">
        <v>519.07118142169236</v>
      </c>
      <c r="Q7" s="84"/>
      <c r="R7" s="84"/>
      <c r="S7" s="35">
        <v>45199</v>
      </c>
      <c r="T7" s="85">
        <v>2316.033388755131</v>
      </c>
      <c r="U7" s="88">
        <v>0</v>
      </c>
      <c r="V7" s="86">
        <v>9036.9081680711242</v>
      </c>
      <c r="W7" s="88">
        <v>6462.1560015393115</v>
      </c>
      <c r="X7" s="88">
        <v>0</v>
      </c>
      <c r="Y7" s="87">
        <v>893.99133542686297</v>
      </c>
      <c r="Z7" s="84"/>
      <c r="AA7" s="84"/>
      <c r="AB7" s="35">
        <v>45199</v>
      </c>
      <c r="AC7" s="85">
        <v>1684.8190704432427</v>
      </c>
      <c r="AD7" s="88">
        <v>0</v>
      </c>
      <c r="AE7" s="86">
        <v>3518.1336366237761</v>
      </c>
      <c r="AF7" s="88">
        <v>4342.4108341145011</v>
      </c>
      <c r="AG7" s="88">
        <v>0</v>
      </c>
      <c r="AH7" s="87">
        <v>876.7256810960688</v>
      </c>
    </row>
    <row r="8" spans="1:36" s="76" customFormat="1" ht="15" customHeight="1" x14ac:dyDescent="0.3">
      <c r="A8" s="35">
        <v>45291</v>
      </c>
      <c r="B8" s="85">
        <v>7449.0849964286172</v>
      </c>
      <c r="C8" s="88">
        <v>0</v>
      </c>
      <c r="D8" s="86">
        <v>29433.967282034508</v>
      </c>
      <c r="E8" s="88">
        <v>21445.130900380689</v>
      </c>
      <c r="F8" s="88">
        <v>0</v>
      </c>
      <c r="G8" s="87">
        <v>3066.4080160646772</v>
      </c>
      <c r="H8" s="84"/>
      <c r="I8" s="84"/>
      <c r="J8" s="35">
        <v>45291</v>
      </c>
      <c r="K8" s="85">
        <v>1533.1289374027026</v>
      </c>
      <c r="L8" s="88">
        <v>0</v>
      </c>
      <c r="M8" s="86">
        <v>4760.1334289713641</v>
      </c>
      <c r="N8" s="88">
        <v>3048.8584901296422</v>
      </c>
      <c r="O8" s="88">
        <v>0</v>
      </c>
      <c r="P8" s="87">
        <v>600.21815112308843</v>
      </c>
      <c r="Q8" s="84"/>
      <c r="R8" s="84"/>
      <c r="S8" s="35">
        <v>45291</v>
      </c>
      <c r="T8" s="85">
        <v>2809.663292421606</v>
      </c>
      <c r="U8" s="88">
        <v>0</v>
      </c>
      <c r="V8" s="86">
        <v>10979.586794599756</v>
      </c>
      <c r="W8" s="88">
        <v>7774.5091285043363</v>
      </c>
      <c r="X8" s="88">
        <v>0</v>
      </c>
      <c r="Y8" s="87">
        <v>1054.3585686477152</v>
      </c>
      <c r="Z8" s="84"/>
      <c r="AA8" s="84"/>
      <c r="AB8" s="35">
        <v>45291</v>
      </c>
      <c r="AC8" s="85">
        <v>1969.4421075077512</v>
      </c>
      <c r="AD8" s="88">
        <v>0</v>
      </c>
      <c r="AE8" s="86">
        <v>4164.2352579374938</v>
      </c>
      <c r="AF8" s="88">
        <v>5004.5296116481995</v>
      </c>
      <c r="AG8" s="88">
        <v>0</v>
      </c>
      <c r="AH8" s="87">
        <v>1032.7569650318546</v>
      </c>
    </row>
    <row r="9" spans="1:36" x14ac:dyDescent="0.3">
      <c r="A9" s="35">
        <v>45382</v>
      </c>
      <c r="B9" s="85">
        <v>7652.2627048902996</v>
      </c>
      <c r="C9" s="88">
        <v>0</v>
      </c>
      <c r="D9" s="86">
        <v>30066.167583895065</v>
      </c>
      <c r="E9" s="88">
        <v>21945.582785649221</v>
      </c>
      <c r="F9" s="88">
        <v>0</v>
      </c>
      <c r="G9" s="87">
        <v>3113.9454439528404</v>
      </c>
      <c r="H9" s="84"/>
      <c r="I9" s="84"/>
      <c r="J9" s="35">
        <v>45382</v>
      </c>
      <c r="K9" s="85">
        <v>1547.8345150040341</v>
      </c>
      <c r="L9" s="88">
        <v>0</v>
      </c>
      <c r="M9" s="86">
        <v>4792.582428337194</v>
      </c>
      <c r="N9" s="88">
        <v>3080.9242073757905</v>
      </c>
      <c r="O9" s="88">
        <v>0</v>
      </c>
      <c r="P9" s="87">
        <v>604.36964456185103</v>
      </c>
      <c r="Q9" s="84"/>
      <c r="R9" s="84"/>
      <c r="S9" s="35">
        <v>45382</v>
      </c>
      <c r="T9" s="85">
        <v>3079.6010761002526</v>
      </c>
      <c r="U9" s="88">
        <v>0</v>
      </c>
      <c r="V9" s="86">
        <v>12041.951360955676</v>
      </c>
      <c r="W9" s="88">
        <v>8423.6984543632716</v>
      </c>
      <c r="X9" s="88">
        <v>0</v>
      </c>
      <c r="Y9" s="87">
        <v>1143.7456780574134</v>
      </c>
      <c r="Z9" s="84"/>
      <c r="AA9" s="84"/>
      <c r="AB9" s="35">
        <v>45382</v>
      </c>
      <c r="AC9" s="85">
        <v>1954.3165595867056</v>
      </c>
      <c r="AD9" s="88">
        <v>0</v>
      </c>
      <c r="AE9" s="86">
        <v>4179.118374046795</v>
      </c>
      <c r="AF9" s="88">
        <v>5016.8170370351099</v>
      </c>
      <c r="AG9" s="88">
        <v>0</v>
      </c>
      <c r="AH9" s="87">
        <v>1028.1096094786976</v>
      </c>
    </row>
    <row r="10" spans="1:36" x14ac:dyDescent="0.3">
      <c r="A10" s="35">
        <v>45473</v>
      </c>
      <c r="B10" s="85">
        <v>7296.2934546195311</v>
      </c>
      <c r="C10" s="88">
        <v>0</v>
      </c>
      <c r="D10" s="86">
        <v>28439.72333150114</v>
      </c>
      <c r="E10" s="88">
        <v>21006.096548996637</v>
      </c>
      <c r="F10" s="88">
        <v>0</v>
      </c>
      <c r="G10" s="87">
        <v>2955.4951709240995</v>
      </c>
      <c r="H10" s="102"/>
      <c r="I10" s="84"/>
      <c r="J10" s="35">
        <v>45473</v>
      </c>
      <c r="K10" s="85">
        <v>1447.9352613523497</v>
      </c>
      <c r="L10" s="88">
        <v>0</v>
      </c>
      <c r="M10" s="86">
        <v>4459.5184420593823</v>
      </c>
      <c r="N10" s="88">
        <v>2850.1060076084127</v>
      </c>
      <c r="O10" s="88">
        <v>0</v>
      </c>
      <c r="P10" s="87">
        <v>564.51682165552893</v>
      </c>
      <c r="Q10" s="102"/>
      <c r="R10" s="84"/>
      <c r="S10" s="35">
        <v>45473</v>
      </c>
      <c r="T10" s="85">
        <v>3130.5360277142941</v>
      </c>
      <c r="U10" s="88">
        <v>0</v>
      </c>
      <c r="V10" s="86">
        <v>12266.52332752336</v>
      </c>
      <c r="W10" s="88">
        <v>8574.8730422802109</v>
      </c>
      <c r="X10" s="88">
        <v>0</v>
      </c>
      <c r="Y10" s="87">
        <v>1164.5418957869258</v>
      </c>
      <c r="Z10" s="102"/>
      <c r="AA10" s="84"/>
      <c r="AB10" s="35">
        <v>45473</v>
      </c>
      <c r="AC10" s="85">
        <v>1790.0053903048185</v>
      </c>
      <c r="AD10" s="88">
        <v>0</v>
      </c>
      <c r="AE10" s="86">
        <v>3959.2970570197012</v>
      </c>
      <c r="AF10" s="88">
        <v>4643.887876249988</v>
      </c>
      <c r="AG10" s="88">
        <v>0</v>
      </c>
      <c r="AH10" s="87">
        <v>960.12667440526138</v>
      </c>
      <c r="AI10" s="103"/>
      <c r="AJ10" s="103"/>
    </row>
    <row r="11" spans="1:36" x14ac:dyDescent="0.3">
      <c r="A11" s="35">
        <v>45536</v>
      </c>
      <c r="B11" s="85">
        <v>7478</v>
      </c>
      <c r="C11" s="88">
        <v>0</v>
      </c>
      <c r="D11" s="86">
        <v>29549</v>
      </c>
      <c r="E11" s="88">
        <v>21724</v>
      </c>
      <c r="F11" s="88">
        <v>0</v>
      </c>
      <c r="G11" s="87">
        <v>3007</v>
      </c>
      <c r="H11" s="102"/>
      <c r="I11" s="84"/>
      <c r="J11" s="35">
        <v>45536</v>
      </c>
      <c r="K11" s="85">
        <v>1520</v>
      </c>
      <c r="L11" s="88">
        <v>0</v>
      </c>
      <c r="M11" s="86">
        <v>4743</v>
      </c>
      <c r="N11" s="88">
        <v>3028</v>
      </c>
      <c r="O11" s="88">
        <v>0</v>
      </c>
      <c r="P11" s="87">
        <v>590</v>
      </c>
      <c r="Q11" s="102"/>
      <c r="R11" s="84"/>
      <c r="S11" s="35">
        <v>45536</v>
      </c>
      <c r="T11" s="85">
        <v>3363</v>
      </c>
      <c r="U11" s="88">
        <v>0</v>
      </c>
      <c r="V11" s="86">
        <v>13531</v>
      </c>
      <c r="W11" s="88">
        <v>9295</v>
      </c>
      <c r="X11" s="88">
        <v>0</v>
      </c>
      <c r="Y11" s="87">
        <v>1259</v>
      </c>
      <c r="Z11" s="102"/>
      <c r="AA11" s="84"/>
      <c r="AB11" s="35">
        <v>45536</v>
      </c>
      <c r="AC11" s="85">
        <v>1881</v>
      </c>
      <c r="AD11" s="88">
        <v>0</v>
      </c>
      <c r="AE11" s="86">
        <v>4243</v>
      </c>
      <c r="AF11" s="88">
        <v>4823</v>
      </c>
      <c r="AG11" s="88">
        <v>0</v>
      </c>
      <c r="AH11" s="87">
        <v>1029</v>
      </c>
      <c r="AI11" s="103"/>
      <c r="AJ11" s="103"/>
    </row>
    <row r="12" spans="1:36" x14ac:dyDescent="0.3">
      <c r="A12" s="35">
        <v>45627</v>
      </c>
      <c r="B12" s="85">
        <v>7086</v>
      </c>
      <c r="C12" s="88">
        <v>0</v>
      </c>
      <c r="D12" s="86">
        <v>27727</v>
      </c>
      <c r="E12" s="88">
        <v>20501</v>
      </c>
      <c r="F12" s="88">
        <v>0</v>
      </c>
      <c r="G12" s="87">
        <v>2781</v>
      </c>
      <c r="H12" s="102"/>
      <c r="I12" s="84"/>
      <c r="J12" s="35">
        <v>45627</v>
      </c>
      <c r="K12" s="85">
        <v>1398</v>
      </c>
      <c r="L12" s="88">
        <v>0</v>
      </c>
      <c r="M12" s="86">
        <v>4381</v>
      </c>
      <c r="N12" s="88">
        <v>2782</v>
      </c>
      <c r="O12" s="88">
        <v>0</v>
      </c>
      <c r="P12" s="87">
        <v>529</v>
      </c>
      <c r="Q12" s="102"/>
      <c r="R12" s="84"/>
      <c r="S12" s="35">
        <v>45627</v>
      </c>
      <c r="T12" s="85">
        <v>3349</v>
      </c>
      <c r="U12" s="88">
        <v>0</v>
      </c>
      <c r="V12" s="86">
        <v>13418</v>
      </c>
      <c r="W12" s="88">
        <v>9183</v>
      </c>
      <c r="X12" s="88">
        <v>0</v>
      </c>
      <c r="Y12" s="87">
        <v>1222</v>
      </c>
      <c r="Z12" s="102"/>
      <c r="AA12" s="84"/>
      <c r="AB12" s="35">
        <v>45627</v>
      </c>
      <c r="AC12" s="85">
        <v>1709</v>
      </c>
      <c r="AD12" s="88">
        <v>0</v>
      </c>
      <c r="AE12" s="86">
        <v>3970</v>
      </c>
      <c r="AF12" s="88">
        <v>4430</v>
      </c>
      <c r="AG12" s="88">
        <v>0</v>
      </c>
      <c r="AH12" s="87">
        <v>970</v>
      </c>
      <c r="AI12" s="103"/>
      <c r="AJ12" s="103"/>
    </row>
    <row r="13" spans="1:36" x14ac:dyDescent="0.3">
      <c r="A13" s="35">
        <v>45747</v>
      </c>
      <c r="B13" s="85">
        <v>7395.2446126759996</v>
      </c>
      <c r="C13" s="88">
        <v>0</v>
      </c>
      <c r="D13" s="86">
        <v>28928.353429150378</v>
      </c>
      <c r="E13" s="88">
        <v>21452.390582828553</v>
      </c>
      <c r="F13" s="88">
        <v>0</v>
      </c>
      <c r="G13" s="87">
        <v>2868.902470874672</v>
      </c>
      <c r="H13" s="102"/>
      <c r="I13" s="84"/>
      <c r="J13" s="35">
        <v>45747</v>
      </c>
      <c r="K13" s="85">
        <v>1471.2063868276764</v>
      </c>
      <c r="L13" s="88">
        <v>0</v>
      </c>
      <c r="M13" s="86">
        <v>4658.3241869283047</v>
      </c>
      <c r="N13" s="88">
        <v>2995.8239598122868</v>
      </c>
      <c r="O13" s="88">
        <v>3.509080079349126E-7</v>
      </c>
      <c r="P13" s="87">
        <v>561.75742552776228</v>
      </c>
      <c r="Q13" s="102"/>
      <c r="R13" s="84">
        <v>14948.786513212659</v>
      </c>
      <c r="S13" s="35">
        <v>45747</v>
      </c>
      <c r="T13" s="85">
        <v>3666.4570299632683</v>
      </c>
      <c r="U13" s="88">
        <v>0</v>
      </c>
      <c r="V13" s="86">
        <v>14783.9600316903</v>
      </c>
      <c r="W13" s="88">
        <v>10053.955208741847</v>
      </c>
      <c r="X13" s="88">
        <v>8.7451301468151248E-7</v>
      </c>
      <c r="Y13" s="87">
        <v>1329.9434451119673</v>
      </c>
      <c r="Z13" s="102"/>
      <c r="AA13" s="84">
        <v>0</v>
      </c>
      <c r="AB13" s="35">
        <v>45747</v>
      </c>
      <c r="AC13" s="85">
        <v>1738.7727295680033</v>
      </c>
      <c r="AD13" s="88">
        <v>0</v>
      </c>
      <c r="AE13" s="86">
        <v>4180.2233911384365</v>
      </c>
      <c r="AF13" s="88">
        <v>4570.0022346796131</v>
      </c>
      <c r="AG13" s="88">
        <v>0</v>
      </c>
      <c r="AH13" s="87">
        <v>1015.3124345363066</v>
      </c>
      <c r="AI13" s="103"/>
      <c r="AJ13" s="103"/>
    </row>
    <row r="14" spans="1:36" x14ac:dyDescent="0.3">
      <c r="A14" s="35">
        <v>45838</v>
      </c>
      <c r="B14" s="85">
        <v>7889.7805327146925</v>
      </c>
      <c r="C14" s="88">
        <v>0</v>
      </c>
      <c r="D14" s="86">
        <v>30961.25743119491</v>
      </c>
      <c r="E14" s="88">
        <v>22948.840853022237</v>
      </c>
      <c r="F14" s="88">
        <v>0</v>
      </c>
      <c r="G14" s="87">
        <v>3033.9834122218067</v>
      </c>
      <c r="H14" s="102"/>
      <c r="I14" s="84"/>
      <c r="J14" s="35">
        <v>45838</v>
      </c>
      <c r="K14" s="85">
        <v>1545.7678135865438</v>
      </c>
      <c r="L14" s="88">
        <v>0</v>
      </c>
      <c r="M14" s="86">
        <v>5014.6873490684266</v>
      </c>
      <c r="N14" s="88">
        <v>3203.6141333587489</v>
      </c>
      <c r="O14" s="88">
        <v>3.798263283230689E-7</v>
      </c>
      <c r="P14" s="87">
        <v>591.5229517010323</v>
      </c>
      <c r="Q14" s="102"/>
      <c r="R14">
        <v>16918.574861401539</v>
      </c>
      <c r="S14" s="35">
        <v>45838</v>
      </c>
      <c r="T14" s="85">
        <v>4118.8411272487447</v>
      </c>
      <c r="U14" s="88">
        <v>0</v>
      </c>
      <c r="V14" s="86">
        <v>16686.020172379012</v>
      </c>
      <c r="W14" s="88">
        <v>11328.893395073801</v>
      </c>
      <c r="X14" s="88">
        <v>1.012082337695377E-6</v>
      </c>
      <c r="Y14" s="87">
        <v>1515.3317917806603</v>
      </c>
      <c r="Z14" s="102"/>
      <c r="AA14" s="84">
        <v>0</v>
      </c>
      <c r="AB14" s="35">
        <v>45838</v>
      </c>
      <c r="AC14" s="85">
        <v>1743.8039977832846</v>
      </c>
      <c r="AD14" s="88">
        <v>0</v>
      </c>
      <c r="AE14" s="86">
        <v>4376.6122272712773</v>
      </c>
      <c r="AF14" s="88">
        <v>4724.7639247781017</v>
      </c>
      <c r="AG14" s="88">
        <v>0</v>
      </c>
      <c r="AH14" s="87">
        <v>1056.6762964793534</v>
      </c>
      <c r="AI14" s="103"/>
      <c r="AJ14" s="103"/>
    </row>
    <row r="15" spans="1:36" x14ac:dyDescent="0.3">
      <c r="A15" s="49"/>
      <c r="I15" s="84"/>
    </row>
    <row r="16" spans="1:36" x14ac:dyDescent="0.3">
      <c r="A16" s="49" t="s">
        <v>18</v>
      </c>
    </row>
    <row r="18" spans="2:40" x14ac:dyDescent="0.3">
      <c r="B18" s="77"/>
    </row>
    <row r="19" spans="2:40" ht="15.75" customHeight="1" x14ac:dyDescent="0.3"/>
    <row r="23" spans="2:40" x14ac:dyDescent="0.3">
      <c r="AH23" s="35"/>
      <c r="AI23" s="85"/>
      <c r="AJ23" s="88"/>
      <c r="AK23" s="86"/>
      <c r="AL23" s="88"/>
      <c r="AM23" s="88"/>
      <c r="AN23" s="87"/>
    </row>
  </sheetData>
  <mergeCells count="9">
    <mergeCell ref="S5:S6"/>
    <mergeCell ref="T5:Y5"/>
    <mergeCell ref="AB5:AB6"/>
    <mergeCell ref="AC5:AH5"/>
    <mergeCell ref="A1:B1"/>
    <mergeCell ref="A5:A6"/>
    <mergeCell ref="B5:G5"/>
    <mergeCell ref="J5:J6"/>
    <mergeCell ref="K5:P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L65"/>
  <sheetViews>
    <sheetView zoomScaleNormal="100" workbookViewId="0">
      <pane ySplit="13" topLeftCell="A14" activePane="bottomLeft" state="frozen"/>
      <selection pane="bottomLeft" activeCell="I16" sqref="I16"/>
    </sheetView>
  </sheetViews>
  <sheetFormatPr baseColWidth="10" defaultColWidth="11.44140625" defaultRowHeight="14.4" x14ac:dyDescent="0.3"/>
  <cols>
    <col min="8" max="8" width="11.44140625" customWidth="1"/>
    <col min="9" max="9" width="18.77734375" bestFit="1" customWidth="1"/>
    <col min="10" max="10" width="11.44140625" customWidth="1"/>
    <col min="11" max="12" width="18.77734375" bestFit="1" customWidth="1"/>
  </cols>
  <sheetData>
    <row r="1" spans="1:11" x14ac:dyDescent="0.3">
      <c r="A1" s="140" t="s">
        <v>0</v>
      </c>
      <c r="B1" s="141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3">
      <c r="A2" s="51" t="s">
        <v>30</v>
      </c>
      <c r="B2" s="52"/>
      <c r="C2" s="52"/>
      <c r="D2" s="52"/>
      <c r="E2" s="50"/>
      <c r="F2" s="50"/>
      <c r="G2" s="50"/>
      <c r="H2" s="50"/>
      <c r="I2" s="50"/>
      <c r="J2" s="50"/>
      <c r="K2" s="50"/>
    </row>
    <row r="3" spans="1:11" x14ac:dyDescent="0.3">
      <c r="A3" s="53" t="s">
        <v>31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x14ac:dyDescent="0.3">
      <c r="A4" s="53" t="s">
        <v>32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15" thickBot="1" x14ac:dyDescent="0.35">
      <c r="A5" s="53"/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15" hidden="1" thickBot="1" x14ac:dyDescent="0.35">
      <c r="A6" s="53"/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11" ht="15" hidden="1" thickBot="1" x14ac:dyDescent="0.35">
      <c r="A7" s="53"/>
      <c r="B7" s="50"/>
      <c r="C7" s="50"/>
      <c r="D7" s="50"/>
      <c r="E7" s="50"/>
      <c r="F7" s="50"/>
      <c r="G7" s="50"/>
      <c r="H7" s="50"/>
      <c r="I7" s="50"/>
      <c r="J7" s="50"/>
      <c r="K7" s="50"/>
    </row>
    <row r="8" spans="1:11" ht="15" hidden="1" thickBot="1" x14ac:dyDescent="0.35">
      <c r="A8" s="53"/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1" ht="15" hidden="1" thickBot="1" x14ac:dyDescent="0.35">
      <c r="A9" s="53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11" ht="15" hidden="1" thickBot="1" x14ac:dyDescent="0.35">
      <c r="A10" s="53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ht="15" hidden="1" thickBot="1" x14ac:dyDescent="0.35"/>
    <row r="12" spans="1:11" x14ac:dyDescent="0.3">
      <c r="A12" s="142" t="s">
        <v>3</v>
      </c>
      <c r="B12" s="144" t="s">
        <v>4</v>
      </c>
      <c r="C12" s="145"/>
      <c r="D12" s="145"/>
      <c r="E12" s="145"/>
      <c r="F12" s="145"/>
      <c r="G12" s="146"/>
      <c r="H12" s="50"/>
      <c r="I12" s="50"/>
      <c r="J12" s="50"/>
      <c r="K12" s="50"/>
    </row>
    <row r="13" spans="1:11" ht="32.25" customHeight="1" thickBot="1" x14ac:dyDescent="0.35">
      <c r="A13" s="143"/>
      <c r="B13" s="54" t="s">
        <v>5</v>
      </c>
      <c r="C13" s="54" t="s">
        <v>6</v>
      </c>
      <c r="D13" s="54" t="s">
        <v>7</v>
      </c>
      <c r="E13" s="54" t="s">
        <v>8</v>
      </c>
      <c r="F13" s="54" t="s">
        <v>29</v>
      </c>
      <c r="G13" s="54" t="s">
        <v>10</v>
      </c>
      <c r="H13" s="55"/>
      <c r="I13" s="55"/>
      <c r="J13" s="55"/>
      <c r="K13" s="50"/>
    </row>
    <row r="14" spans="1:11" x14ac:dyDescent="0.3">
      <c r="A14" s="109">
        <v>45199</v>
      </c>
      <c r="B14" s="89">
        <v>61.712534518158442</v>
      </c>
      <c r="C14" s="90">
        <v>0</v>
      </c>
      <c r="D14" s="91">
        <v>173.30761517952962</v>
      </c>
      <c r="E14" s="90">
        <v>371.27339479890276</v>
      </c>
      <c r="F14" s="90">
        <v>0</v>
      </c>
      <c r="G14" s="92">
        <v>52.338686068452482</v>
      </c>
    </row>
    <row r="15" spans="1:11" x14ac:dyDescent="0.3">
      <c r="A15" s="109">
        <v>45291</v>
      </c>
      <c r="B15" s="89">
        <v>76.094095397208292</v>
      </c>
      <c r="C15" s="90">
        <v>0</v>
      </c>
      <c r="D15" s="91">
        <v>177.97561874152615</v>
      </c>
      <c r="E15" s="90">
        <v>214.63836953048755</v>
      </c>
      <c r="F15" s="90">
        <v>0</v>
      </c>
      <c r="G15" s="92">
        <v>57.164431452432581</v>
      </c>
    </row>
    <row r="16" spans="1:11" x14ac:dyDescent="0.3">
      <c r="A16" s="109">
        <v>45382</v>
      </c>
      <c r="B16" s="89">
        <v>79.695940851344247</v>
      </c>
      <c r="C16" s="90">
        <v>0</v>
      </c>
      <c r="D16" s="91">
        <v>173.89381860850278</v>
      </c>
      <c r="E16" s="90">
        <v>229.5334556757671</v>
      </c>
      <c r="F16" s="90">
        <v>0</v>
      </c>
      <c r="G16" s="92">
        <v>60.10144422712699</v>
      </c>
    </row>
    <row r="17" spans="1:12" x14ac:dyDescent="0.3">
      <c r="A17" s="109">
        <v>45473</v>
      </c>
      <c r="B17" s="89">
        <v>75.980452119492568</v>
      </c>
      <c r="C17" s="90">
        <v>0</v>
      </c>
      <c r="D17" s="91">
        <v>153.3217452778035</v>
      </c>
      <c r="E17" s="90">
        <v>221.24309927435607</v>
      </c>
      <c r="F17" s="90">
        <v>0</v>
      </c>
      <c r="G17" s="92">
        <v>58.115848248471565</v>
      </c>
      <c r="H17" s="56"/>
      <c r="I17" s="105"/>
      <c r="J17" s="105"/>
      <c r="K17" s="105"/>
      <c r="L17" s="105"/>
    </row>
    <row r="18" spans="1:12" x14ac:dyDescent="0.3">
      <c r="A18" s="110">
        <v>45536</v>
      </c>
      <c r="B18" s="89">
        <v>76.815683210000003</v>
      </c>
      <c r="C18" s="90">
        <v>0</v>
      </c>
      <c r="D18" s="91">
        <v>138.6706245</v>
      </c>
      <c r="E18" s="90">
        <v>221.99851269999999</v>
      </c>
      <c r="F18" s="90">
        <v>0</v>
      </c>
      <c r="G18" s="92">
        <v>62.47645326</v>
      </c>
      <c r="H18" s="56"/>
    </row>
    <row r="19" spans="1:12" x14ac:dyDescent="0.3">
      <c r="A19" s="111">
        <v>45627</v>
      </c>
      <c r="B19" s="119">
        <v>71.604349029999995</v>
      </c>
      <c r="C19" s="120">
        <v>0</v>
      </c>
      <c r="D19" s="56">
        <v>140.21595938999999</v>
      </c>
      <c r="E19" s="120">
        <v>198.72503040000001</v>
      </c>
      <c r="F19" s="107">
        <v>0</v>
      </c>
      <c r="G19" s="115">
        <v>60.496776680000004</v>
      </c>
      <c r="H19" s="56"/>
    </row>
    <row r="20" spans="1:12" x14ac:dyDescent="0.3">
      <c r="A20" s="109">
        <v>45747</v>
      </c>
      <c r="B20" s="123">
        <v>74</v>
      </c>
      <c r="C20" s="122">
        <v>0</v>
      </c>
      <c r="D20" s="121">
        <v>153</v>
      </c>
      <c r="E20" s="121">
        <v>207</v>
      </c>
      <c r="F20" s="108">
        <v>0</v>
      </c>
      <c r="G20" s="116">
        <v>69</v>
      </c>
    </row>
    <row r="21" spans="1:12" x14ac:dyDescent="0.3">
      <c r="A21" s="109">
        <v>45838</v>
      </c>
      <c r="B21" s="124">
        <v>76</v>
      </c>
      <c r="C21" s="106">
        <v>0</v>
      </c>
      <c r="D21" s="116">
        <v>164</v>
      </c>
      <c r="E21" s="116">
        <v>213</v>
      </c>
      <c r="F21" s="108">
        <v>0</v>
      </c>
      <c r="G21" s="117">
        <v>75</v>
      </c>
    </row>
    <row r="34" spans="2:7" x14ac:dyDescent="0.3">
      <c r="B34" s="56"/>
      <c r="C34" s="56"/>
      <c r="D34" s="56"/>
      <c r="E34" s="56"/>
      <c r="F34" s="56"/>
      <c r="G34" s="56"/>
    </row>
    <row r="35" spans="2:7" x14ac:dyDescent="0.3">
      <c r="B35" s="56"/>
      <c r="C35" s="56"/>
      <c r="D35" s="56"/>
      <c r="E35" s="56"/>
      <c r="F35" s="56"/>
      <c r="G35" s="56"/>
    </row>
    <row r="36" spans="2:7" x14ac:dyDescent="0.3">
      <c r="B36" s="56"/>
      <c r="C36" s="56"/>
      <c r="D36" s="56"/>
      <c r="E36" s="56"/>
      <c r="F36" s="56"/>
      <c r="G36" s="56"/>
    </row>
    <row r="37" spans="2:7" x14ac:dyDescent="0.3">
      <c r="B37" s="56"/>
      <c r="C37" s="56"/>
      <c r="D37" s="56"/>
      <c r="E37" s="56"/>
      <c r="F37" s="56"/>
      <c r="G37" s="56"/>
    </row>
    <row r="38" spans="2:7" x14ac:dyDescent="0.3">
      <c r="B38" s="56"/>
      <c r="C38" s="56"/>
      <c r="D38" s="56"/>
      <c r="E38" s="56"/>
      <c r="F38" s="56"/>
      <c r="G38" s="56"/>
    </row>
    <row r="39" spans="2:7" x14ac:dyDescent="0.3">
      <c r="B39" s="56"/>
      <c r="C39" s="56"/>
      <c r="D39" s="56"/>
      <c r="E39" s="56"/>
      <c r="F39" s="56"/>
      <c r="G39" s="56"/>
    </row>
    <row r="40" spans="2:7" x14ac:dyDescent="0.3">
      <c r="B40" s="56"/>
      <c r="C40" s="56"/>
      <c r="D40" s="56"/>
      <c r="E40" s="56"/>
      <c r="F40" s="56"/>
      <c r="G40" s="56"/>
    </row>
    <row r="41" spans="2:7" x14ac:dyDescent="0.3">
      <c r="B41" s="56"/>
      <c r="C41" s="56"/>
      <c r="D41" s="56"/>
      <c r="E41" s="56"/>
      <c r="F41" s="56"/>
      <c r="G41" s="56"/>
    </row>
    <row r="42" spans="2:7" x14ac:dyDescent="0.3">
      <c r="B42" s="56"/>
      <c r="C42" s="56"/>
      <c r="D42" s="56"/>
      <c r="E42" s="56"/>
      <c r="F42" s="56"/>
      <c r="G42" s="56"/>
    </row>
    <row r="43" spans="2:7" x14ac:dyDescent="0.3">
      <c r="B43" s="56"/>
      <c r="C43" s="56"/>
      <c r="D43" s="56"/>
      <c r="E43" s="56"/>
      <c r="F43" s="56"/>
      <c r="G43" s="56"/>
    </row>
    <row r="44" spans="2:7" x14ac:dyDescent="0.3">
      <c r="B44" s="56"/>
      <c r="C44" s="56"/>
      <c r="D44" s="56"/>
      <c r="E44" s="56"/>
      <c r="F44" s="56"/>
      <c r="G44" s="56"/>
    </row>
    <row r="45" spans="2:7" x14ac:dyDescent="0.3">
      <c r="B45" s="56"/>
      <c r="C45" s="56"/>
      <c r="D45" s="56"/>
      <c r="E45" s="56"/>
      <c r="F45" s="56"/>
      <c r="G45" s="56"/>
    </row>
    <row r="46" spans="2:7" x14ac:dyDescent="0.3">
      <c r="B46" s="56"/>
      <c r="C46" s="56"/>
      <c r="D46" s="56"/>
      <c r="E46" s="56"/>
      <c r="F46" s="56"/>
      <c r="G46" s="56"/>
    </row>
    <row r="47" spans="2:7" x14ac:dyDescent="0.3">
      <c r="B47" s="56"/>
      <c r="C47" s="56"/>
      <c r="D47" s="56"/>
      <c r="E47" s="56"/>
      <c r="F47" s="56"/>
      <c r="G47" s="56"/>
    </row>
    <row r="48" spans="2:7" x14ac:dyDescent="0.3">
      <c r="B48" s="56"/>
      <c r="C48" s="56"/>
      <c r="D48" s="56"/>
      <c r="E48" s="56"/>
      <c r="F48" s="56"/>
      <c r="G48" s="56"/>
    </row>
    <row r="49" spans="2:7" x14ac:dyDescent="0.3">
      <c r="B49" s="56"/>
      <c r="C49" s="56"/>
      <c r="D49" s="56"/>
      <c r="E49" s="56"/>
      <c r="F49" s="56"/>
      <c r="G49" s="56"/>
    </row>
    <row r="50" spans="2:7" x14ac:dyDescent="0.3">
      <c r="B50" s="56"/>
      <c r="C50" s="56"/>
      <c r="D50" s="56"/>
      <c r="E50" s="56"/>
      <c r="F50" s="56"/>
      <c r="G50" s="56"/>
    </row>
    <row r="51" spans="2:7" x14ac:dyDescent="0.3">
      <c r="B51" s="56"/>
      <c r="C51" s="56"/>
      <c r="D51" s="56"/>
      <c r="E51" s="56"/>
      <c r="F51" s="56"/>
      <c r="G51" s="56"/>
    </row>
    <row r="52" spans="2:7" x14ac:dyDescent="0.3">
      <c r="B52" s="56"/>
      <c r="C52" s="56"/>
      <c r="D52" s="56"/>
      <c r="E52" s="56"/>
      <c r="F52" s="56"/>
      <c r="G52" s="56"/>
    </row>
    <row r="53" spans="2:7" x14ac:dyDescent="0.3">
      <c r="B53" s="56"/>
      <c r="C53" s="56"/>
      <c r="D53" s="56"/>
      <c r="E53" s="56"/>
      <c r="F53" s="56"/>
      <c r="G53" s="56"/>
    </row>
    <row r="54" spans="2:7" x14ac:dyDescent="0.3">
      <c r="B54" s="56"/>
      <c r="C54" s="56"/>
      <c r="D54" s="56"/>
      <c r="E54" s="56"/>
      <c r="F54" s="56"/>
      <c r="G54" s="56"/>
    </row>
    <row r="55" spans="2:7" x14ac:dyDescent="0.3">
      <c r="B55" s="56"/>
      <c r="C55" s="56"/>
      <c r="D55" s="56"/>
      <c r="E55" s="56"/>
      <c r="F55" s="56"/>
      <c r="G55" s="56"/>
    </row>
    <row r="56" spans="2:7" x14ac:dyDescent="0.3">
      <c r="B56" s="56"/>
      <c r="C56" s="56"/>
      <c r="D56" s="56"/>
      <c r="E56" s="56"/>
      <c r="F56" s="56"/>
      <c r="G56" s="56"/>
    </row>
    <row r="57" spans="2:7" x14ac:dyDescent="0.3">
      <c r="B57" s="56"/>
      <c r="C57" s="56"/>
      <c r="D57" s="56"/>
      <c r="E57" s="56"/>
      <c r="F57" s="56"/>
      <c r="G57" s="56"/>
    </row>
    <row r="58" spans="2:7" x14ac:dyDescent="0.3">
      <c r="B58" s="56"/>
      <c r="C58" s="56"/>
      <c r="D58" s="56"/>
      <c r="E58" s="56"/>
      <c r="F58" s="56"/>
      <c r="G58" s="56"/>
    </row>
    <row r="59" spans="2:7" x14ac:dyDescent="0.3">
      <c r="B59" s="56"/>
      <c r="C59" s="56"/>
      <c r="D59" s="56"/>
      <c r="E59" s="56"/>
      <c r="F59" s="56"/>
      <c r="G59" s="56"/>
    </row>
    <row r="60" spans="2:7" x14ac:dyDescent="0.3">
      <c r="B60" s="56"/>
      <c r="C60" s="56"/>
      <c r="D60" s="56"/>
      <c r="E60" s="56"/>
      <c r="F60" s="56"/>
      <c r="G60" s="56"/>
    </row>
    <row r="61" spans="2:7" x14ac:dyDescent="0.3">
      <c r="B61" s="56"/>
      <c r="C61" s="56"/>
      <c r="D61" s="56"/>
      <c r="E61" s="56"/>
      <c r="F61" s="56"/>
      <c r="G61" s="56"/>
    </row>
    <row r="62" spans="2:7" x14ac:dyDescent="0.3">
      <c r="B62" s="56"/>
      <c r="C62" s="56"/>
      <c r="D62" s="56"/>
      <c r="E62" s="56"/>
      <c r="F62" s="56"/>
      <c r="G62" s="56"/>
    </row>
    <row r="63" spans="2:7" x14ac:dyDescent="0.3">
      <c r="B63" s="56"/>
      <c r="C63" s="56"/>
      <c r="D63" s="56"/>
      <c r="E63" s="56"/>
      <c r="F63" s="56"/>
      <c r="G63" s="56"/>
    </row>
    <row r="64" spans="2:7" x14ac:dyDescent="0.3">
      <c r="B64" s="56"/>
      <c r="C64" s="56"/>
      <c r="D64" s="56"/>
      <c r="E64" s="56"/>
      <c r="F64" s="56"/>
      <c r="G64" s="56"/>
    </row>
    <row r="65" spans="2:7" x14ac:dyDescent="0.3">
      <c r="B65" s="56"/>
      <c r="C65" s="56"/>
      <c r="D65" s="56"/>
      <c r="E65" s="56"/>
      <c r="F65" s="56"/>
      <c r="G65" s="56"/>
    </row>
  </sheetData>
  <mergeCells count="3">
    <mergeCell ref="A1:B1"/>
    <mergeCell ref="A12:A13"/>
    <mergeCell ref="B12:G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C46"/>
  <sheetViews>
    <sheetView zoomScale="130" zoomScaleNormal="130" workbookViewId="0">
      <pane ySplit="6" topLeftCell="A13" activePane="bottomLeft" state="frozen"/>
      <selection pane="bottomLeft" activeCell="A20" sqref="A20:B20"/>
    </sheetView>
  </sheetViews>
  <sheetFormatPr baseColWidth="10" defaultColWidth="11.44140625" defaultRowHeight="14.4" x14ac:dyDescent="0.3"/>
  <cols>
    <col min="1" max="1" width="14.77734375" customWidth="1"/>
  </cols>
  <sheetData>
    <row r="1" spans="1:29" x14ac:dyDescent="0.3">
      <c r="A1" s="138" t="s">
        <v>0</v>
      </c>
      <c r="B1" s="139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29" x14ac:dyDescent="0.3">
      <c r="A2" s="26" t="s">
        <v>33</v>
      </c>
      <c r="B2" s="27"/>
      <c r="C2" s="2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29" x14ac:dyDescent="0.3">
      <c r="A3" s="28" t="s">
        <v>34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29" ht="15" thickBot="1" x14ac:dyDescent="0.35">
      <c r="A4" s="28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29" x14ac:dyDescent="0.3">
      <c r="A5" s="133" t="s">
        <v>3</v>
      </c>
      <c r="B5" s="148" t="s">
        <v>4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29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1"/>
      <c r="AA5" s="31"/>
      <c r="AB5" s="31"/>
      <c r="AC5" s="31"/>
    </row>
    <row r="6" spans="1:29" ht="12.75" customHeight="1" x14ac:dyDescent="0.3">
      <c r="A6" s="147"/>
      <c r="B6" s="149" t="s">
        <v>5</v>
      </c>
      <c r="C6" s="149"/>
      <c r="D6" s="149" t="s">
        <v>6</v>
      </c>
      <c r="E6" s="149"/>
      <c r="F6" s="149" t="s">
        <v>7</v>
      </c>
      <c r="G6" s="149"/>
      <c r="H6" s="149" t="s">
        <v>8</v>
      </c>
      <c r="I6" s="149"/>
      <c r="J6" s="149" t="s">
        <v>35</v>
      </c>
      <c r="K6" s="149"/>
      <c r="L6" s="149" t="s">
        <v>36</v>
      </c>
      <c r="M6" s="149"/>
      <c r="N6" s="32"/>
    </row>
    <row r="7" spans="1:29" ht="42.6" thickBot="1" x14ac:dyDescent="0.35">
      <c r="A7" s="134"/>
      <c r="B7" s="33" t="s">
        <v>37</v>
      </c>
      <c r="C7" s="33" t="s">
        <v>38</v>
      </c>
      <c r="D7" s="33" t="s">
        <v>37</v>
      </c>
      <c r="E7" s="33" t="s">
        <v>38</v>
      </c>
      <c r="F7" s="33" t="s">
        <v>37</v>
      </c>
      <c r="G7" s="33" t="s">
        <v>38</v>
      </c>
      <c r="H7" s="33" t="s">
        <v>37</v>
      </c>
      <c r="I7" s="33" t="s">
        <v>38</v>
      </c>
      <c r="J7" s="33" t="s">
        <v>37</v>
      </c>
      <c r="K7" s="33" t="s">
        <v>38</v>
      </c>
      <c r="L7" s="33" t="s">
        <v>37</v>
      </c>
      <c r="M7" s="34" t="s">
        <v>38</v>
      </c>
      <c r="N7" s="32"/>
    </row>
    <row r="8" spans="1:29" s="76" customFormat="1" x14ac:dyDescent="0.3">
      <c r="A8" s="35">
        <v>45170</v>
      </c>
      <c r="B8" s="81">
        <v>0.93</v>
      </c>
      <c r="C8" s="81">
        <v>2.0699999999999998</v>
      </c>
      <c r="D8" s="81">
        <v>0</v>
      </c>
      <c r="E8" s="81">
        <v>0</v>
      </c>
      <c r="F8" s="81">
        <v>0.53</v>
      </c>
      <c r="G8" s="81">
        <v>2.4700000000000002</v>
      </c>
      <c r="H8" s="81">
        <v>0.47</v>
      </c>
      <c r="I8" s="81">
        <v>2.5299999999999998</v>
      </c>
      <c r="J8" s="81">
        <v>0</v>
      </c>
      <c r="K8" s="81">
        <v>0</v>
      </c>
      <c r="L8" s="81">
        <v>2.0499999999999998</v>
      </c>
      <c r="M8" s="81">
        <v>0.95</v>
      </c>
      <c r="N8" s="83"/>
    </row>
    <row r="9" spans="1:29" s="76" customFormat="1" x14ac:dyDescent="0.3">
      <c r="A9" s="35">
        <v>45261</v>
      </c>
      <c r="B9" s="81">
        <v>0.93</v>
      </c>
      <c r="C9" s="81">
        <v>2.0699999999999998</v>
      </c>
      <c r="D9" s="81">
        <v>0</v>
      </c>
      <c r="E9" s="81">
        <v>0</v>
      </c>
      <c r="F9" s="81">
        <v>0.53</v>
      </c>
      <c r="G9" s="81">
        <v>2.4700000000000002</v>
      </c>
      <c r="H9" s="81">
        <v>0.47</v>
      </c>
      <c r="I9" s="81">
        <v>2.5299999999999998</v>
      </c>
      <c r="J9" s="81">
        <v>0</v>
      </c>
      <c r="K9" s="81">
        <v>0</v>
      </c>
      <c r="L9" s="81">
        <v>2.0499999999999998</v>
      </c>
      <c r="M9" s="81">
        <v>0.95</v>
      </c>
      <c r="N9" s="83"/>
    </row>
    <row r="10" spans="1:29" s="76" customFormat="1" x14ac:dyDescent="0.3">
      <c r="A10" s="35">
        <v>45352</v>
      </c>
      <c r="B10" s="81">
        <v>0.97</v>
      </c>
      <c r="C10" s="81">
        <v>2.0299999999999998</v>
      </c>
      <c r="D10" s="81">
        <v>0</v>
      </c>
      <c r="E10" s="81">
        <v>0</v>
      </c>
      <c r="F10" s="81">
        <v>0.53</v>
      </c>
      <c r="G10" s="81">
        <v>2.4700000000000002</v>
      </c>
      <c r="H10" s="81">
        <v>0.47</v>
      </c>
      <c r="I10" s="81">
        <v>2.5299999999999998</v>
      </c>
      <c r="J10" s="81">
        <v>0</v>
      </c>
      <c r="K10" s="81">
        <v>0</v>
      </c>
      <c r="L10" s="81">
        <v>2.0499999999999998</v>
      </c>
      <c r="M10" s="81">
        <v>0.95</v>
      </c>
      <c r="N10" s="83"/>
    </row>
    <row r="11" spans="1:29" s="76" customFormat="1" x14ac:dyDescent="0.3">
      <c r="A11" s="35">
        <v>45444</v>
      </c>
      <c r="B11" s="81">
        <v>0.97</v>
      </c>
      <c r="C11" s="81">
        <v>2.0299999999999998</v>
      </c>
      <c r="D11" s="81">
        <v>0</v>
      </c>
      <c r="E11" s="81">
        <v>0</v>
      </c>
      <c r="F11" s="81">
        <v>0.53</v>
      </c>
      <c r="G11" s="81">
        <v>2.4700000000000002</v>
      </c>
      <c r="H11" s="81">
        <v>0.47</v>
      </c>
      <c r="I11" s="81">
        <v>2.5299999999999998</v>
      </c>
      <c r="J11" s="81">
        <v>0</v>
      </c>
      <c r="K11" s="81">
        <v>0</v>
      </c>
      <c r="L11" s="81">
        <v>2.0499999999999998</v>
      </c>
      <c r="M11" s="81">
        <v>0.95</v>
      </c>
      <c r="N11" s="83"/>
    </row>
    <row r="12" spans="1:29" s="76" customFormat="1" x14ac:dyDescent="0.3">
      <c r="A12" s="35">
        <v>45536</v>
      </c>
      <c r="B12" s="81">
        <v>0.97</v>
      </c>
      <c r="C12" s="81">
        <v>2.0299999999999998</v>
      </c>
      <c r="D12" s="81">
        <v>0</v>
      </c>
      <c r="E12" s="81">
        <v>0</v>
      </c>
      <c r="F12" s="81">
        <v>0.53</v>
      </c>
      <c r="G12" s="81">
        <v>2.4700000000000002</v>
      </c>
      <c r="H12" s="81">
        <v>0.47</v>
      </c>
      <c r="I12" s="81">
        <v>2.5299999999999998</v>
      </c>
      <c r="J12" s="81">
        <v>0</v>
      </c>
      <c r="K12" s="81">
        <v>0</v>
      </c>
      <c r="L12" s="81">
        <v>2.0499999999999998</v>
      </c>
      <c r="M12" s="81">
        <v>0.95</v>
      </c>
      <c r="N12" s="83"/>
    </row>
    <row r="13" spans="1:29" s="76" customFormat="1" x14ac:dyDescent="0.3">
      <c r="A13" s="35">
        <v>45627</v>
      </c>
      <c r="B13" s="81">
        <v>0.97</v>
      </c>
      <c r="C13" s="81">
        <v>2.0299999999999998</v>
      </c>
      <c r="D13" s="81">
        <v>0</v>
      </c>
      <c r="E13" s="81">
        <v>0</v>
      </c>
      <c r="F13" s="81">
        <v>0.53</v>
      </c>
      <c r="G13" s="81">
        <v>2.4700000000000002</v>
      </c>
      <c r="H13" s="81">
        <v>0.47</v>
      </c>
      <c r="I13" s="81">
        <v>2.5299999999999998</v>
      </c>
      <c r="J13" s="81">
        <v>0</v>
      </c>
      <c r="K13" s="81">
        <v>0</v>
      </c>
      <c r="L13" s="81">
        <v>2.0499999999999998</v>
      </c>
      <c r="M13" s="81">
        <v>0.95</v>
      </c>
      <c r="N13" s="83"/>
    </row>
    <row r="14" spans="1:29" s="76" customFormat="1" x14ac:dyDescent="0.3">
      <c r="A14" s="35">
        <v>45717</v>
      </c>
      <c r="B14" s="81">
        <v>0.97</v>
      </c>
      <c r="C14" s="81">
        <v>2.0299999999999998</v>
      </c>
      <c r="D14" s="81">
        <v>0</v>
      </c>
      <c r="E14" s="81">
        <v>0</v>
      </c>
      <c r="F14" s="81">
        <f>3-G14</f>
        <v>0.4700000000000002</v>
      </c>
      <c r="G14" s="81">
        <v>2.5299999999999998</v>
      </c>
      <c r="H14" s="81">
        <v>0.47</v>
      </c>
      <c r="I14" s="81">
        <v>2.5299999999999998</v>
      </c>
      <c r="J14" s="81">
        <v>0</v>
      </c>
      <c r="K14" s="81">
        <v>0</v>
      </c>
      <c r="L14" s="81">
        <v>2.0499999999999998</v>
      </c>
      <c r="M14" s="81">
        <v>0.95</v>
      </c>
      <c r="N14" s="83"/>
    </row>
    <row r="15" spans="1:29" s="76" customFormat="1" x14ac:dyDescent="0.3">
      <c r="A15" s="35">
        <v>45809</v>
      </c>
      <c r="B15" s="81">
        <v>0.97</v>
      </c>
      <c r="C15" s="81">
        <v>2.0299999999999998</v>
      </c>
      <c r="D15" s="81">
        <v>0</v>
      </c>
      <c r="E15" s="81">
        <v>0</v>
      </c>
      <c r="F15" s="81">
        <f>3-G15</f>
        <v>0.4700000000000002</v>
      </c>
      <c r="G15" s="81">
        <v>2.5299999999999998</v>
      </c>
      <c r="H15" s="81">
        <v>0.47</v>
      </c>
      <c r="I15" s="81">
        <v>2.5299999999999998</v>
      </c>
      <c r="J15" s="81">
        <v>0</v>
      </c>
      <c r="K15" s="81">
        <v>0</v>
      </c>
      <c r="L15" s="81">
        <v>2.0499999999999998</v>
      </c>
      <c r="M15" s="81">
        <v>0.95</v>
      </c>
      <c r="N15" s="83"/>
    </row>
    <row r="16" spans="1:29" s="76" customFormat="1" x14ac:dyDescent="0.3">
      <c r="A16" s="82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3"/>
    </row>
    <row r="17" spans="1:13" x14ac:dyDescent="0.3">
      <c r="A17" s="36" t="s">
        <v>39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  <row r="18" spans="1:13" x14ac:dyDescent="0.3">
      <c r="A18" s="38" t="s">
        <v>40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31" spans="1:13" x14ac:dyDescent="0.3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</row>
    <row r="32" spans="1:13" x14ac:dyDescent="0.3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</row>
    <row r="33" spans="2:13" x14ac:dyDescent="0.3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</row>
    <row r="34" spans="2:13" x14ac:dyDescent="0.3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</row>
    <row r="35" spans="2:13" x14ac:dyDescent="0.3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</row>
    <row r="36" spans="2:13" x14ac:dyDescent="0.3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2:13" x14ac:dyDescent="0.3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2:13" x14ac:dyDescent="0.3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2:13" x14ac:dyDescent="0.3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2:13" x14ac:dyDescent="0.3"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</row>
    <row r="41" spans="2:13" x14ac:dyDescent="0.3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r="42" spans="2:13" x14ac:dyDescent="0.3"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r="43" spans="2:13" x14ac:dyDescent="0.3"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r="44" spans="2:13" x14ac:dyDescent="0.3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  <row r="45" spans="2:13" x14ac:dyDescent="0.3"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2:13" x14ac:dyDescent="0.3"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</row>
  </sheetData>
  <mergeCells count="9">
    <mergeCell ref="A1:B1"/>
    <mergeCell ref="A5:A7"/>
    <mergeCell ref="B5:M5"/>
    <mergeCell ref="B6:C6"/>
    <mergeCell ref="D6:E6"/>
    <mergeCell ref="F6:G6"/>
    <mergeCell ref="H6:I6"/>
    <mergeCell ref="J6:K6"/>
    <mergeCell ref="L6:M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R40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29" sqref="D29"/>
    </sheetView>
  </sheetViews>
  <sheetFormatPr baseColWidth="10" defaultColWidth="11.44140625" defaultRowHeight="14.4" x14ac:dyDescent="0.3"/>
  <sheetData>
    <row r="1" spans="1:18" x14ac:dyDescent="0.3">
      <c r="A1" s="140" t="s">
        <v>0</v>
      </c>
      <c r="B1" s="141"/>
      <c r="C1" s="50"/>
      <c r="D1" s="50"/>
      <c r="E1" s="50"/>
      <c r="F1" s="50"/>
      <c r="G1" s="50"/>
      <c r="H1" s="50"/>
    </row>
    <row r="2" spans="1:18" x14ac:dyDescent="0.3">
      <c r="A2" s="51" t="s">
        <v>41</v>
      </c>
      <c r="B2" s="50"/>
      <c r="C2" s="50"/>
      <c r="D2" s="50"/>
      <c r="E2" s="50"/>
      <c r="F2" s="50"/>
      <c r="G2" s="50"/>
      <c r="H2" s="50"/>
      <c r="I2" s="51" t="s">
        <v>42</v>
      </c>
      <c r="J2" s="50"/>
      <c r="K2" s="50"/>
      <c r="L2" s="50"/>
      <c r="M2" s="50"/>
      <c r="N2" s="50"/>
      <c r="O2" s="50"/>
    </row>
    <row r="3" spans="1:18" x14ac:dyDescent="0.3">
      <c r="A3" s="65" t="s">
        <v>43</v>
      </c>
      <c r="B3" s="50"/>
      <c r="C3" s="50"/>
      <c r="D3" s="50"/>
      <c r="E3" s="50"/>
      <c r="F3" s="50"/>
      <c r="G3" s="50"/>
      <c r="H3" s="50"/>
      <c r="I3" s="65" t="s">
        <v>43</v>
      </c>
      <c r="J3" s="50"/>
      <c r="K3" s="50"/>
      <c r="L3" s="50"/>
      <c r="M3" s="50"/>
      <c r="N3" s="50"/>
      <c r="O3" s="50"/>
    </row>
    <row r="4" spans="1:18" ht="15" thickBot="1" x14ac:dyDescent="0.35">
      <c r="A4" s="66"/>
      <c r="B4" s="67"/>
      <c r="C4" s="67"/>
      <c r="D4" s="50"/>
      <c r="E4" s="50"/>
      <c r="F4" s="50"/>
      <c r="G4" s="50"/>
      <c r="H4" s="50"/>
      <c r="I4" s="66"/>
      <c r="J4" s="67"/>
      <c r="K4" s="67"/>
      <c r="L4" s="50"/>
      <c r="M4" s="50"/>
      <c r="N4" s="50"/>
      <c r="O4" s="50"/>
    </row>
    <row r="5" spans="1:18" x14ac:dyDescent="0.3">
      <c r="A5" s="150" t="s">
        <v>3</v>
      </c>
      <c r="B5" s="152" t="s">
        <v>25</v>
      </c>
      <c r="C5" s="152"/>
      <c r="D5" s="152"/>
      <c r="E5" s="152"/>
      <c r="F5" s="152"/>
      <c r="G5" s="152"/>
      <c r="H5" s="50"/>
      <c r="I5" s="150" t="s">
        <v>3</v>
      </c>
      <c r="J5" s="152" t="s">
        <v>25</v>
      </c>
      <c r="K5" s="152"/>
      <c r="L5" s="152"/>
      <c r="M5" s="152"/>
      <c r="N5" s="152"/>
      <c r="O5" s="152"/>
    </row>
    <row r="6" spans="1:18" ht="27" thickBot="1" x14ac:dyDescent="0.35">
      <c r="A6" s="151"/>
      <c r="B6" s="68" t="s">
        <v>5</v>
      </c>
      <c r="C6" s="69" t="s">
        <v>6</v>
      </c>
      <c r="D6" s="69" t="s">
        <v>7</v>
      </c>
      <c r="E6" s="69" t="s">
        <v>8</v>
      </c>
      <c r="F6" s="69" t="s">
        <v>35</v>
      </c>
      <c r="G6" s="54" t="s">
        <v>36</v>
      </c>
      <c r="H6" s="55"/>
      <c r="I6" s="151"/>
      <c r="J6" s="69" t="s">
        <v>5</v>
      </c>
      <c r="K6" s="69" t="s">
        <v>6</v>
      </c>
      <c r="L6" s="54" t="s">
        <v>7</v>
      </c>
      <c r="M6" s="54" t="s">
        <v>8</v>
      </c>
      <c r="N6" s="69" t="s">
        <v>35</v>
      </c>
      <c r="O6" s="54" t="s">
        <v>36</v>
      </c>
    </row>
    <row r="7" spans="1:18" x14ac:dyDescent="0.3">
      <c r="A7" s="95">
        <v>45199</v>
      </c>
      <c r="B7" s="96">
        <v>9.3658745206008689</v>
      </c>
      <c r="C7" s="96">
        <v>0</v>
      </c>
      <c r="D7" s="96">
        <v>11.624865829664133</v>
      </c>
      <c r="E7" s="96">
        <v>10.861863537943295</v>
      </c>
      <c r="F7" s="96">
        <v>0</v>
      </c>
      <c r="G7" s="96">
        <v>10.353807626010724</v>
      </c>
      <c r="I7" s="95">
        <v>45199</v>
      </c>
      <c r="J7" s="96">
        <v>-1.4654529978594621</v>
      </c>
      <c r="K7" s="96">
        <v>0</v>
      </c>
      <c r="L7" s="96">
        <v>0.56981336192623022</v>
      </c>
      <c r="M7" s="96">
        <v>-0.11762305739437817</v>
      </c>
      <c r="N7" s="96">
        <v>0</v>
      </c>
      <c r="O7" s="96">
        <v>-0.57536236001939356</v>
      </c>
    </row>
    <row r="8" spans="1:18" x14ac:dyDescent="0.3">
      <c r="A8" s="95">
        <v>45291</v>
      </c>
      <c r="B8" s="96">
        <v>10.789638793956978</v>
      </c>
      <c r="C8" s="96">
        <v>0</v>
      </c>
      <c r="D8" s="96">
        <v>12.501923718998786</v>
      </c>
      <c r="E8" s="96">
        <v>11.522392875441433</v>
      </c>
      <c r="F8" s="96">
        <v>0</v>
      </c>
      <c r="G8" s="96">
        <v>10.098741916830246</v>
      </c>
      <c r="I8" s="95">
        <v>45291</v>
      </c>
      <c r="J8" s="96">
        <v>1.385551678786312</v>
      </c>
      <c r="K8" s="96">
        <v>0</v>
      </c>
      <c r="L8" s="96">
        <v>2.9524938012305268</v>
      </c>
      <c r="M8" s="96">
        <v>2.0561078571880387</v>
      </c>
      <c r="N8" s="96">
        <v>0</v>
      </c>
      <c r="O8" s="96">
        <v>0.75329976603373261</v>
      </c>
    </row>
    <row r="9" spans="1:18" x14ac:dyDescent="0.3">
      <c r="A9" s="95">
        <v>45382</v>
      </c>
      <c r="B9" s="96">
        <v>10.404475888538677</v>
      </c>
      <c r="C9" s="96">
        <v>0</v>
      </c>
      <c r="D9" s="96">
        <v>11.447055469318567</v>
      </c>
      <c r="E9" s="96">
        <v>11.816387322221233</v>
      </c>
      <c r="F9" s="96">
        <v>0</v>
      </c>
      <c r="G9" s="96">
        <v>10.853461826882359</v>
      </c>
      <c r="I9" s="95">
        <v>45382</v>
      </c>
      <c r="J9" s="96">
        <v>2.8472166039846591</v>
      </c>
      <c r="K9" s="96">
        <v>0</v>
      </c>
      <c r="L9" s="96">
        <v>3.8184309239512659</v>
      </c>
      <c r="M9" s="96">
        <v>4.1624817676198189</v>
      </c>
      <c r="N9" s="96">
        <v>0</v>
      </c>
      <c r="O9" s="96">
        <v>3.265469158343004</v>
      </c>
    </row>
    <row r="10" spans="1:18" x14ac:dyDescent="0.3">
      <c r="A10" s="95">
        <v>45473</v>
      </c>
      <c r="B10" s="96">
        <v>11.617220998074718</v>
      </c>
      <c r="C10" s="96">
        <v>0</v>
      </c>
      <c r="D10" s="96">
        <v>11.848020154531191</v>
      </c>
      <c r="E10" s="96">
        <v>12.928948979157063</v>
      </c>
      <c r="F10" s="96">
        <v>0</v>
      </c>
      <c r="G10" s="96">
        <v>12.544849246038293</v>
      </c>
      <c r="I10" s="95">
        <v>45473</v>
      </c>
      <c r="J10" s="96">
        <v>4.1636175412910426</v>
      </c>
      <c r="K10" s="96">
        <v>0</v>
      </c>
      <c r="L10" s="96">
        <v>4.3790043323884253</v>
      </c>
      <c r="M10" s="96">
        <v>5.3877506142872678</v>
      </c>
      <c r="N10" s="96">
        <v>0</v>
      </c>
      <c r="O10" s="96">
        <v>5.0293003918167711</v>
      </c>
    </row>
    <row r="11" spans="1:18" x14ac:dyDescent="0.3">
      <c r="A11" s="95">
        <v>45536</v>
      </c>
      <c r="B11" s="96">
        <v>21.07</v>
      </c>
      <c r="C11" s="96">
        <v>0</v>
      </c>
      <c r="D11" s="96">
        <v>21.51</v>
      </c>
      <c r="E11" s="96">
        <v>22.51</v>
      </c>
      <c r="F11" s="96">
        <v>0</v>
      </c>
      <c r="G11" s="96">
        <v>22.24</v>
      </c>
      <c r="I11" s="95">
        <v>45536</v>
      </c>
      <c r="J11" s="96">
        <v>14.44</v>
      </c>
      <c r="K11" s="96">
        <v>0</v>
      </c>
      <c r="L11" s="96">
        <v>14.85</v>
      </c>
      <c r="M11" s="96">
        <v>15.8</v>
      </c>
      <c r="N11" s="96">
        <v>0</v>
      </c>
      <c r="O11" s="96">
        <v>15.55</v>
      </c>
      <c r="P11" s="104"/>
    </row>
    <row r="12" spans="1:18" x14ac:dyDescent="0.3">
      <c r="A12" s="95">
        <v>45627</v>
      </c>
      <c r="B12" s="96">
        <v>13.6</v>
      </c>
      <c r="C12" s="96">
        <v>0</v>
      </c>
      <c r="D12" s="96">
        <v>12.81</v>
      </c>
      <c r="E12" s="96">
        <v>14.59</v>
      </c>
      <c r="F12" s="96">
        <v>0</v>
      </c>
      <c r="G12" s="96">
        <v>13.96</v>
      </c>
      <c r="I12" s="95">
        <v>45627</v>
      </c>
      <c r="J12" s="96">
        <v>8</v>
      </c>
      <c r="K12" s="96">
        <v>0</v>
      </c>
      <c r="L12" s="96">
        <v>7.25</v>
      </c>
      <c r="M12" s="96">
        <v>8.9499999999999993</v>
      </c>
      <c r="N12" s="96">
        <v>0</v>
      </c>
      <c r="O12" s="96">
        <v>8.34</v>
      </c>
      <c r="P12" s="113"/>
    </row>
    <row r="13" spans="1:18" x14ac:dyDescent="0.3">
      <c r="A13" s="95">
        <v>45747</v>
      </c>
      <c r="B13" s="96">
        <v>9.4333803483028547</v>
      </c>
      <c r="C13" s="96">
        <v>0</v>
      </c>
      <c r="D13" s="96">
        <v>8.8451416753659196</v>
      </c>
      <c r="E13" s="96">
        <v>10.255943868026996</v>
      </c>
      <c r="F13" s="96">
        <v>0</v>
      </c>
      <c r="G13" s="96">
        <v>9.3268439614462082</v>
      </c>
      <c r="I13" s="95">
        <v>45747</v>
      </c>
      <c r="J13" s="96">
        <v>4.13</v>
      </c>
      <c r="K13" s="96">
        <v>0</v>
      </c>
      <c r="L13" s="96">
        <v>3.57</v>
      </c>
      <c r="M13" s="96">
        <v>4.92</v>
      </c>
      <c r="N13" s="96">
        <v>0</v>
      </c>
      <c r="O13" s="96">
        <v>4.03</v>
      </c>
      <c r="P13" s="118"/>
      <c r="Q13" s="113"/>
      <c r="R13" s="113"/>
    </row>
    <row r="14" spans="1:18" x14ac:dyDescent="0.3">
      <c r="A14" s="95">
        <v>45838</v>
      </c>
      <c r="B14" s="96">
        <v>10.086386336108166</v>
      </c>
      <c r="C14" s="96">
        <v>0</v>
      </c>
      <c r="D14" s="96">
        <v>9.9345506625251101</v>
      </c>
      <c r="E14" s="96">
        <v>10.749458676562963</v>
      </c>
      <c r="F14" s="96">
        <v>0</v>
      </c>
      <c r="G14" s="96">
        <v>9.6640794905874738</v>
      </c>
      <c r="I14" s="95">
        <v>45838</v>
      </c>
      <c r="J14" s="96">
        <v>5.0199999999999996</v>
      </c>
      <c r="K14" s="96">
        <v>0</v>
      </c>
      <c r="L14" s="96">
        <v>4.87</v>
      </c>
      <c r="M14" s="96">
        <v>5.65</v>
      </c>
      <c r="N14" s="96">
        <v>0</v>
      </c>
      <c r="O14" s="96">
        <v>4.62</v>
      </c>
      <c r="P14" s="118"/>
      <c r="Q14" s="113"/>
      <c r="R14" s="113"/>
    </row>
    <row r="15" spans="1:18" x14ac:dyDescent="0.3">
      <c r="P15" s="118"/>
      <c r="Q15" s="113"/>
      <c r="R15" s="113"/>
    </row>
    <row r="16" spans="1:18" x14ac:dyDescent="0.3">
      <c r="P16" s="114"/>
      <c r="Q16" s="113"/>
      <c r="R16" s="113"/>
    </row>
    <row r="24" spans="2:8" x14ac:dyDescent="0.3">
      <c r="B24" s="79"/>
      <c r="C24" s="79"/>
      <c r="D24" s="79"/>
      <c r="E24" s="79"/>
      <c r="F24" s="79"/>
      <c r="G24" s="79"/>
      <c r="H24" s="79"/>
    </row>
    <row r="25" spans="2:8" x14ac:dyDescent="0.3">
      <c r="B25" s="79"/>
      <c r="C25" s="79"/>
      <c r="D25" s="79"/>
      <c r="E25" s="79"/>
      <c r="F25" s="79"/>
      <c r="G25" s="79"/>
      <c r="H25" s="79"/>
    </row>
    <row r="26" spans="2:8" x14ac:dyDescent="0.3">
      <c r="B26" s="79"/>
      <c r="C26" s="79"/>
      <c r="D26" s="79"/>
      <c r="E26" s="79"/>
      <c r="F26" s="79"/>
      <c r="G26" s="79"/>
      <c r="H26" s="79"/>
    </row>
    <row r="27" spans="2:8" x14ac:dyDescent="0.3">
      <c r="B27" s="79"/>
      <c r="C27" s="79"/>
      <c r="D27" s="79"/>
      <c r="E27" s="79"/>
      <c r="F27" s="79"/>
      <c r="G27" s="79"/>
      <c r="H27" s="79"/>
    </row>
    <row r="28" spans="2:8" x14ac:dyDescent="0.3">
      <c r="B28" s="79"/>
      <c r="C28" s="79"/>
      <c r="D28" s="79"/>
      <c r="E28" s="79"/>
      <c r="F28" s="79"/>
      <c r="G28" s="79"/>
      <c r="H28" s="79"/>
    </row>
    <row r="29" spans="2:8" x14ac:dyDescent="0.3">
      <c r="B29" s="79"/>
      <c r="C29" s="79"/>
      <c r="D29" s="79"/>
      <c r="E29" s="79"/>
      <c r="F29" s="79"/>
      <c r="G29" s="79"/>
      <c r="H29" s="79"/>
    </row>
    <row r="30" spans="2:8" x14ac:dyDescent="0.3">
      <c r="B30" s="79"/>
      <c r="C30" s="79"/>
      <c r="D30" s="79"/>
      <c r="E30" s="79"/>
      <c r="F30" s="79"/>
      <c r="G30" s="79"/>
      <c r="H30" s="79"/>
    </row>
    <row r="31" spans="2:8" x14ac:dyDescent="0.3">
      <c r="B31" s="79"/>
      <c r="C31" s="79"/>
      <c r="D31" s="79"/>
      <c r="E31" s="79"/>
      <c r="F31" s="79"/>
      <c r="G31" s="79"/>
      <c r="H31" s="79"/>
    </row>
    <row r="32" spans="2:8" x14ac:dyDescent="0.3">
      <c r="B32" s="79"/>
      <c r="C32" s="79"/>
      <c r="D32" s="79"/>
      <c r="E32" s="79"/>
      <c r="F32" s="79"/>
      <c r="G32" s="79"/>
      <c r="H32" s="79"/>
    </row>
    <row r="33" spans="2:15" x14ac:dyDescent="0.3">
      <c r="B33" s="79"/>
      <c r="C33" s="79"/>
      <c r="D33" s="79"/>
      <c r="E33" s="79"/>
      <c r="F33" s="79"/>
      <c r="G33" s="79"/>
      <c r="H33" s="79"/>
    </row>
    <row r="34" spans="2:15" x14ac:dyDescent="0.3">
      <c r="B34" s="79"/>
      <c r="C34" s="79"/>
      <c r="D34" s="79"/>
      <c r="E34" s="79"/>
      <c r="F34" s="79"/>
      <c r="G34" s="79"/>
      <c r="H34" s="79"/>
    </row>
    <row r="35" spans="2:15" x14ac:dyDescent="0.3">
      <c r="B35" s="79"/>
      <c r="C35" s="79"/>
      <c r="D35" s="79"/>
      <c r="E35" s="79"/>
      <c r="F35" s="79"/>
      <c r="G35" s="79"/>
      <c r="H35" s="79"/>
    </row>
    <row r="36" spans="2:15" x14ac:dyDescent="0.3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</row>
    <row r="37" spans="2:15" x14ac:dyDescent="0.3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</row>
    <row r="38" spans="2:15" x14ac:dyDescent="0.3"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</row>
    <row r="39" spans="2:15" x14ac:dyDescent="0.3"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</row>
    <row r="40" spans="2:15" x14ac:dyDescent="0.3"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</row>
  </sheetData>
  <mergeCells count="5">
    <mergeCell ref="I5:I6"/>
    <mergeCell ref="J5:O5"/>
    <mergeCell ref="A1:B1"/>
    <mergeCell ref="A5:A6"/>
    <mergeCell ref="B5:G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M16"/>
  <sheetViews>
    <sheetView zoomScale="85" zoomScaleNormal="85" workbookViewId="0">
      <pane ySplit="6" topLeftCell="A7" activePane="bottomLeft" state="frozen"/>
      <selection pane="bottomLeft" activeCell="J27" sqref="J27:K27"/>
    </sheetView>
  </sheetViews>
  <sheetFormatPr baseColWidth="10" defaultColWidth="11.44140625" defaultRowHeight="14.4" x14ac:dyDescent="0.3"/>
  <sheetData>
    <row r="1" spans="1:13" x14ac:dyDescent="0.3">
      <c r="A1" s="153" t="s">
        <v>0</v>
      </c>
      <c r="B1" s="154"/>
      <c r="C1" s="57"/>
      <c r="D1" s="57"/>
      <c r="E1" s="57"/>
      <c r="F1" s="57"/>
      <c r="G1" s="57"/>
      <c r="H1" s="57"/>
      <c r="I1" s="57"/>
      <c r="J1" s="57"/>
    </row>
    <row r="2" spans="1:13" x14ac:dyDescent="0.3">
      <c r="A2" s="2" t="s">
        <v>44</v>
      </c>
      <c r="B2" s="58"/>
      <c r="C2" s="58"/>
      <c r="D2" s="58"/>
      <c r="E2" s="57"/>
      <c r="F2" s="57"/>
      <c r="G2" s="57"/>
      <c r="H2" s="57"/>
      <c r="I2" s="57"/>
      <c r="J2" s="57"/>
    </row>
    <row r="3" spans="1:13" x14ac:dyDescent="0.3">
      <c r="A3" s="59" t="s">
        <v>2</v>
      </c>
      <c r="B3" s="57"/>
      <c r="C3" s="57"/>
      <c r="D3" s="57"/>
      <c r="E3" s="57"/>
      <c r="F3" s="57"/>
      <c r="G3" s="57"/>
      <c r="H3" s="57"/>
      <c r="I3" s="57"/>
      <c r="J3" s="57"/>
    </row>
    <row r="4" spans="1:13" ht="15" thickBot="1" x14ac:dyDescent="0.35">
      <c r="A4" s="60"/>
      <c r="B4" s="61"/>
      <c r="C4" s="61"/>
      <c r="D4" s="57"/>
      <c r="E4" s="57"/>
      <c r="F4" s="57"/>
      <c r="G4" s="57"/>
      <c r="H4" s="57"/>
      <c r="I4" s="57"/>
      <c r="J4" s="57"/>
      <c r="K4" s="62"/>
      <c r="L4" s="62"/>
      <c r="M4" s="62"/>
    </row>
    <row r="5" spans="1:13" ht="15.75" customHeight="1" x14ac:dyDescent="0.3">
      <c r="A5" s="155" t="s">
        <v>3</v>
      </c>
      <c r="B5" s="157" t="s">
        <v>4</v>
      </c>
      <c r="C5" s="158"/>
      <c r="D5" s="158"/>
      <c r="E5" s="158"/>
      <c r="F5" s="158"/>
      <c r="G5" s="159"/>
      <c r="H5" s="57"/>
      <c r="I5" s="57"/>
      <c r="J5" s="57"/>
      <c r="K5" s="62"/>
      <c r="L5" s="62"/>
      <c r="M5" s="62"/>
    </row>
    <row r="6" spans="1:13" ht="15" thickBot="1" x14ac:dyDescent="0.35">
      <c r="A6" s="156"/>
      <c r="B6" s="63" t="s">
        <v>5</v>
      </c>
      <c r="C6" s="64" t="s">
        <v>6</v>
      </c>
      <c r="D6" s="64" t="s">
        <v>7</v>
      </c>
      <c r="E6" s="64" t="s">
        <v>8</v>
      </c>
      <c r="F6" s="64" t="s">
        <v>29</v>
      </c>
      <c r="G6" s="3" t="s">
        <v>36</v>
      </c>
      <c r="H6" s="4"/>
      <c r="I6" s="4"/>
      <c r="J6" s="4"/>
    </row>
    <row r="7" spans="1:13" x14ac:dyDescent="0.3">
      <c r="A7" s="94">
        <v>45199</v>
      </c>
      <c r="B7" s="93" t="s">
        <v>45</v>
      </c>
      <c r="C7" s="93" t="s">
        <v>45</v>
      </c>
      <c r="D7" s="93" t="s">
        <v>45</v>
      </c>
      <c r="E7" s="93" t="s">
        <v>45</v>
      </c>
      <c r="F7" s="93" t="s">
        <v>45</v>
      </c>
      <c r="G7" s="93" t="s">
        <v>45</v>
      </c>
      <c r="H7" s="4"/>
      <c r="I7" s="4"/>
      <c r="J7" s="4"/>
    </row>
    <row r="8" spans="1:13" x14ac:dyDescent="0.3">
      <c r="A8" s="94">
        <v>45291</v>
      </c>
      <c r="B8" s="93" t="s">
        <v>45</v>
      </c>
      <c r="C8" s="93" t="s">
        <v>45</v>
      </c>
      <c r="D8" s="93" t="s">
        <v>45</v>
      </c>
      <c r="E8" s="93" t="s">
        <v>45</v>
      </c>
      <c r="F8" s="93" t="s">
        <v>45</v>
      </c>
      <c r="G8" s="93" t="s">
        <v>45</v>
      </c>
      <c r="H8" s="4"/>
      <c r="I8" s="4"/>
      <c r="J8" s="4"/>
    </row>
    <row r="9" spans="1:13" x14ac:dyDescent="0.3">
      <c r="A9" s="94">
        <v>45382</v>
      </c>
      <c r="B9" s="93" t="s">
        <v>45</v>
      </c>
      <c r="C9" s="93" t="s">
        <v>45</v>
      </c>
      <c r="D9" s="93" t="s">
        <v>45</v>
      </c>
      <c r="E9" s="93" t="s">
        <v>45</v>
      </c>
      <c r="F9" s="93" t="s">
        <v>45</v>
      </c>
      <c r="G9" s="93" t="s">
        <v>45</v>
      </c>
      <c r="H9" s="4"/>
      <c r="I9" s="4"/>
      <c r="J9" s="4"/>
    </row>
    <row r="10" spans="1:13" x14ac:dyDescent="0.3">
      <c r="A10" s="94">
        <v>45473</v>
      </c>
      <c r="B10" s="93" t="s">
        <v>45</v>
      </c>
      <c r="C10" s="93" t="s">
        <v>45</v>
      </c>
      <c r="D10" s="93" t="s">
        <v>45</v>
      </c>
      <c r="E10" s="93" t="s">
        <v>45</v>
      </c>
      <c r="F10" s="93" t="s">
        <v>45</v>
      </c>
      <c r="G10" s="93" t="s">
        <v>45</v>
      </c>
      <c r="H10" s="4"/>
      <c r="I10" s="4"/>
      <c r="J10" s="4"/>
    </row>
    <row r="11" spans="1:13" x14ac:dyDescent="0.3">
      <c r="A11" s="7">
        <v>45536</v>
      </c>
      <c r="B11" s="93" t="s">
        <v>45</v>
      </c>
      <c r="C11" s="93" t="s">
        <v>45</v>
      </c>
      <c r="D11" s="93" t="s">
        <v>45</v>
      </c>
      <c r="E11" s="93" t="s">
        <v>45</v>
      </c>
      <c r="F11" s="93" t="s">
        <v>45</v>
      </c>
      <c r="G11" s="93" t="s">
        <v>45</v>
      </c>
      <c r="H11" s="4"/>
      <c r="I11" s="4"/>
      <c r="J11" s="4"/>
    </row>
    <row r="12" spans="1:13" x14ac:dyDescent="0.3">
      <c r="A12" s="7">
        <v>45627</v>
      </c>
      <c r="B12" s="93" t="s">
        <v>45</v>
      </c>
      <c r="C12" s="93" t="s">
        <v>45</v>
      </c>
      <c r="D12" s="93" t="s">
        <v>45</v>
      </c>
      <c r="E12" s="93" t="s">
        <v>45</v>
      </c>
      <c r="F12" s="93" t="s">
        <v>45</v>
      </c>
      <c r="G12" s="93" t="s">
        <v>45</v>
      </c>
      <c r="H12" s="4"/>
      <c r="I12" s="4"/>
      <c r="J12" s="4"/>
    </row>
    <row r="13" spans="1:13" x14ac:dyDescent="0.3">
      <c r="A13" s="101">
        <v>45717</v>
      </c>
      <c r="B13" s="93" t="s">
        <v>45</v>
      </c>
      <c r="C13" s="93" t="s">
        <v>45</v>
      </c>
      <c r="D13" s="93" t="s">
        <v>45</v>
      </c>
      <c r="E13" s="93" t="s">
        <v>45</v>
      </c>
      <c r="F13" s="93" t="s">
        <v>45</v>
      </c>
      <c r="G13" s="93" t="s">
        <v>45</v>
      </c>
      <c r="H13" s="4"/>
      <c r="I13" s="4"/>
      <c r="J13" s="4"/>
    </row>
    <row r="14" spans="1:13" x14ac:dyDescent="0.3">
      <c r="A14" s="101">
        <v>45809</v>
      </c>
      <c r="B14" s="93" t="s">
        <v>45</v>
      </c>
      <c r="C14" s="93" t="s">
        <v>45</v>
      </c>
      <c r="D14" s="93" t="s">
        <v>45</v>
      </c>
      <c r="E14" s="93" t="s">
        <v>45</v>
      </c>
      <c r="F14" s="93" t="s">
        <v>45</v>
      </c>
      <c r="G14" s="93" t="s">
        <v>45</v>
      </c>
      <c r="H14" s="4"/>
      <c r="I14" s="4"/>
      <c r="J14" s="4"/>
    </row>
    <row r="16" spans="1:13" x14ac:dyDescent="0.3">
      <c r="A16" t="s">
        <v>46</v>
      </c>
    </row>
  </sheetData>
  <mergeCells count="3">
    <mergeCell ref="A1:B1"/>
    <mergeCell ref="A5:A6"/>
    <mergeCell ref="B5:G5"/>
  </mergeCells>
  <pageMargins left="0.70866141732283472" right="0.70866141732283472" top="1.85" bottom="0.74803149606299213" header="0.31496062992125984" footer="0.31496062992125984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G47"/>
  <sheetViews>
    <sheetView zoomScale="85" zoomScaleNormal="85" workbookViewId="0">
      <pane ySplit="6" topLeftCell="A7" activePane="bottomLeft" state="frozen"/>
      <selection pane="bottomLeft" activeCell="H20" sqref="H20"/>
    </sheetView>
  </sheetViews>
  <sheetFormatPr baseColWidth="10" defaultColWidth="11.44140625" defaultRowHeight="13.2" x14ac:dyDescent="0.25"/>
  <cols>
    <col min="1" max="16384" width="11.44140625" style="8"/>
  </cols>
  <sheetData>
    <row r="1" spans="1:7" x14ac:dyDescent="0.25">
      <c r="A1" s="128" t="s">
        <v>0</v>
      </c>
      <c r="B1" s="160"/>
    </row>
    <row r="2" spans="1:7" x14ac:dyDescent="0.25">
      <c r="A2" s="19" t="s">
        <v>47</v>
      </c>
      <c r="B2" s="20"/>
      <c r="C2" s="20"/>
      <c r="D2" s="20"/>
    </row>
    <row r="3" spans="1:7" x14ac:dyDescent="0.25">
      <c r="A3" s="8" t="s">
        <v>48</v>
      </c>
    </row>
    <row r="4" spans="1:7" ht="13.8" thickBot="1" x14ac:dyDescent="0.3">
      <c r="A4" s="9"/>
      <c r="B4" s="9"/>
      <c r="C4" s="9"/>
    </row>
    <row r="5" spans="1:7" x14ac:dyDescent="0.25">
      <c r="A5" s="161" t="s">
        <v>3</v>
      </c>
      <c r="B5" s="163" t="s">
        <v>4</v>
      </c>
      <c r="C5" s="163"/>
      <c r="D5" s="163"/>
      <c r="E5" s="163"/>
      <c r="F5" s="163"/>
      <c r="G5" s="164"/>
    </row>
    <row r="6" spans="1:7" s="10" customFormat="1" ht="13.8" thickBot="1" x14ac:dyDescent="0.35">
      <c r="A6" s="162"/>
      <c r="B6" s="70" t="s">
        <v>5</v>
      </c>
      <c r="C6" s="71" t="s">
        <v>6</v>
      </c>
      <c r="D6" s="71" t="s">
        <v>7</v>
      </c>
      <c r="E6" s="71" t="s">
        <v>8</v>
      </c>
      <c r="F6" s="71" t="s">
        <v>29</v>
      </c>
      <c r="G6" s="72" t="s">
        <v>36</v>
      </c>
    </row>
    <row r="7" spans="1:7" s="10" customFormat="1" ht="13.8" x14ac:dyDescent="0.3">
      <c r="A7" s="101">
        <v>45199</v>
      </c>
      <c r="B7" s="97">
        <v>32121</v>
      </c>
      <c r="C7" s="98">
        <v>0</v>
      </c>
      <c r="D7" s="99">
        <v>70186</v>
      </c>
      <c r="E7" s="98">
        <v>69987</v>
      </c>
      <c r="F7" s="98">
        <v>0</v>
      </c>
      <c r="G7" s="100">
        <v>7171</v>
      </c>
    </row>
    <row r="8" spans="1:7" s="10" customFormat="1" ht="13.8" x14ac:dyDescent="0.3">
      <c r="A8" s="101">
        <v>45291</v>
      </c>
      <c r="B8" s="97">
        <v>27156</v>
      </c>
      <c r="C8" s="98">
        <v>0</v>
      </c>
      <c r="D8" s="99">
        <v>57758</v>
      </c>
      <c r="E8" s="98">
        <v>65027</v>
      </c>
      <c r="F8" s="98">
        <v>0</v>
      </c>
      <c r="G8" s="100">
        <v>7081</v>
      </c>
    </row>
    <row r="9" spans="1:7" s="10" customFormat="1" ht="13.8" x14ac:dyDescent="0.3">
      <c r="A9" s="101">
        <v>45382</v>
      </c>
      <c r="B9" s="97">
        <v>24896</v>
      </c>
      <c r="C9" s="98">
        <v>0</v>
      </c>
      <c r="D9" s="99">
        <v>51269</v>
      </c>
      <c r="E9" s="98">
        <v>60140</v>
      </c>
      <c r="F9" s="98">
        <v>0</v>
      </c>
      <c r="G9" s="100">
        <v>6890</v>
      </c>
    </row>
    <row r="10" spans="1:7" s="10" customFormat="1" ht="13.8" x14ac:dyDescent="0.3">
      <c r="A10" s="101">
        <v>45473</v>
      </c>
      <c r="B10" s="97">
        <v>22940</v>
      </c>
      <c r="C10" s="98">
        <v>0</v>
      </c>
      <c r="D10" s="99">
        <v>47893</v>
      </c>
      <c r="E10" s="98">
        <v>51889</v>
      </c>
      <c r="F10" s="98">
        <v>0</v>
      </c>
      <c r="G10" s="100">
        <v>6762</v>
      </c>
    </row>
    <row r="11" spans="1:7" s="10" customFormat="1" ht="13.8" x14ac:dyDescent="0.3">
      <c r="A11" s="101">
        <v>45536</v>
      </c>
      <c r="B11" s="97">
        <v>20262</v>
      </c>
      <c r="C11" s="98">
        <v>0</v>
      </c>
      <c r="D11" s="99">
        <v>45815</v>
      </c>
      <c r="E11" s="98">
        <v>49913</v>
      </c>
      <c r="F11" s="98">
        <v>0</v>
      </c>
      <c r="G11" s="100">
        <v>6867</v>
      </c>
    </row>
    <row r="12" spans="1:7" s="10" customFormat="1" ht="13.8" x14ac:dyDescent="0.3">
      <c r="A12" s="101">
        <v>45627</v>
      </c>
      <c r="B12" s="97">
        <v>19990</v>
      </c>
      <c r="C12" s="98">
        <v>0</v>
      </c>
      <c r="D12" s="99">
        <v>44601</v>
      </c>
      <c r="E12" s="98">
        <v>47294</v>
      </c>
      <c r="F12" s="98">
        <v>0</v>
      </c>
      <c r="G12" s="100">
        <v>6544</v>
      </c>
    </row>
    <row r="13" spans="1:7" s="10" customFormat="1" ht="13.8" x14ac:dyDescent="0.3">
      <c r="A13" s="101">
        <v>45717</v>
      </c>
      <c r="B13" s="97">
        <v>19995</v>
      </c>
      <c r="C13" s="98">
        <v>0</v>
      </c>
      <c r="D13" s="99">
        <v>42938</v>
      </c>
      <c r="E13" s="98">
        <v>46205</v>
      </c>
      <c r="F13" s="98">
        <v>0</v>
      </c>
      <c r="G13" s="100">
        <v>6977</v>
      </c>
    </row>
    <row r="14" spans="1:7" s="10" customFormat="1" ht="13.8" x14ac:dyDescent="0.3">
      <c r="A14" s="101">
        <v>45809</v>
      </c>
      <c r="B14" s="97">
        <v>20572</v>
      </c>
      <c r="C14" s="98">
        <v>0</v>
      </c>
      <c r="D14" s="99">
        <v>41586</v>
      </c>
      <c r="E14" s="98">
        <v>44412</v>
      </c>
      <c r="F14" s="98">
        <v>0</v>
      </c>
      <c r="G14" s="100">
        <v>6697</v>
      </c>
    </row>
    <row r="15" spans="1:7" s="10" customFormat="1" ht="13.8" x14ac:dyDescent="0.3">
      <c r="A15" s="101"/>
      <c r="B15" s="99"/>
      <c r="C15" s="99"/>
      <c r="D15" s="99"/>
      <c r="E15" s="99"/>
      <c r="F15" s="99"/>
      <c r="G15" s="99"/>
    </row>
    <row r="16" spans="1:7" s="17" customFormat="1" x14ac:dyDescent="0.25">
      <c r="A16" s="5" t="s">
        <v>49</v>
      </c>
      <c r="B16" s="18"/>
      <c r="C16" s="18"/>
    </row>
    <row r="17" spans="2:7" s="10" customFormat="1" x14ac:dyDescent="0.3"/>
    <row r="18" spans="2:7" x14ac:dyDescent="0.25">
      <c r="B18" s="15"/>
      <c r="C18" s="15"/>
    </row>
    <row r="19" spans="2:7" ht="14.4" x14ac:dyDescent="0.3">
      <c r="B19" s="15"/>
      <c r="C19" s="15"/>
      <c r="F19"/>
      <c r="G19"/>
    </row>
    <row r="20" spans="2:7" x14ac:dyDescent="0.25">
      <c r="B20" s="15"/>
      <c r="C20" s="15"/>
    </row>
    <row r="21" spans="2:7" x14ac:dyDescent="0.25">
      <c r="B21" s="15"/>
      <c r="C21" s="15"/>
    </row>
    <row r="22" spans="2:7" x14ac:dyDescent="0.25">
      <c r="B22" s="15"/>
      <c r="C22" s="15"/>
    </row>
    <row r="23" spans="2:7" x14ac:dyDescent="0.25">
      <c r="B23" s="15"/>
      <c r="C23" s="15"/>
    </row>
    <row r="24" spans="2:7" x14ac:dyDescent="0.25">
      <c r="B24" s="15"/>
      <c r="C24" s="15"/>
    </row>
    <row r="25" spans="2:7" x14ac:dyDescent="0.25">
      <c r="B25" s="15"/>
      <c r="C25" s="15"/>
    </row>
    <row r="26" spans="2:7" x14ac:dyDescent="0.25">
      <c r="B26" s="15"/>
      <c r="C26" s="15"/>
    </row>
    <row r="27" spans="2:7" x14ac:dyDescent="0.25">
      <c r="B27" s="15"/>
      <c r="C27" s="15"/>
    </row>
    <row r="28" spans="2:7" x14ac:dyDescent="0.25">
      <c r="B28" s="15"/>
      <c r="C28" s="15"/>
    </row>
    <row r="29" spans="2:7" x14ac:dyDescent="0.25">
      <c r="B29" s="15"/>
      <c r="C29" s="15"/>
    </row>
    <row r="30" spans="2:7" x14ac:dyDescent="0.25">
      <c r="B30" s="15"/>
      <c r="C30" s="15"/>
    </row>
    <row r="31" spans="2:7" x14ac:dyDescent="0.25">
      <c r="B31" s="15"/>
      <c r="C31" s="15"/>
    </row>
    <row r="32" spans="2:7" x14ac:dyDescent="0.25">
      <c r="B32" s="15"/>
      <c r="C32" s="15"/>
    </row>
    <row r="33" spans="2:3" x14ac:dyDescent="0.25">
      <c r="B33" s="15"/>
      <c r="C33" s="15"/>
    </row>
    <row r="34" spans="2:3" x14ac:dyDescent="0.25">
      <c r="B34" s="15"/>
      <c r="C34" s="15"/>
    </row>
    <row r="35" spans="2:3" x14ac:dyDescent="0.25">
      <c r="B35" s="15"/>
      <c r="C35" s="15"/>
    </row>
    <row r="36" spans="2:3" x14ac:dyDescent="0.25">
      <c r="B36" s="15"/>
      <c r="C36" s="15"/>
    </row>
    <row r="37" spans="2:3" x14ac:dyDescent="0.25">
      <c r="B37" s="15"/>
      <c r="C37" s="15"/>
    </row>
    <row r="38" spans="2:3" x14ac:dyDescent="0.25">
      <c r="B38" s="15"/>
      <c r="C38" s="15"/>
    </row>
    <row r="39" spans="2:3" x14ac:dyDescent="0.25">
      <c r="B39" s="15"/>
      <c r="C39" s="15"/>
    </row>
    <row r="40" spans="2:3" x14ac:dyDescent="0.25">
      <c r="B40" s="15"/>
      <c r="C40" s="15"/>
    </row>
    <row r="41" spans="2:3" x14ac:dyDescent="0.25">
      <c r="B41" s="15"/>
      <c r="C41" s="15"/>
    </row>
    <row r="42" spans="2:3" x14ac:dyDescent="0.25">
      <c r="B42" s="15"/>
      <c r="C42" s="15"/>
    </row>
    <row r="43" spans="2:3" x14ac:dyDescent="0.25">
      <c r="B43" s="15"/>
      <c r="C43" s="15"/>
    </row>
    <row r="44" spans="2:3" x14ac:dyDescent="0.25">
      <c r="B44" s="15"/>
      <c r="C44" s="15"/>
    </row>
    <row r="45" spans="2:3" x14ac:dyDescent="0.25">
      <c r="B45" s="15"/>
      <c r="C45" s="15"/>
    </row>
    <row r="46" spans="2:3" x14ac:dyDescent="0.25">
      <c r="B46" s="15"/>
      <c r="C46" s="15"/>
    </row>
    <row r="47" spans="2:3" x14ac:dyDescent="0.25">
      <c r="B47" s="15"/>
      <c r="C47" s="15"/>
    </row>
  </sheetData>
  <mergeCells count="3">
    <mergeCell ref="A1:B1"/>
    <mergeCell ref="A5:A6"/>
    <mergeCell ref="B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afiliados</vt:lpstr>
      <vt:lpstr>aportantes</vt:lpstr>
      <vt:lpstr>colombia</vt:lpstr>
      <vt:lpstr>gastos</vt:lpstr>
      <vt:lpstr>comisiones</vt:lpstr>
      <vt:lpstr>rentabilidad</vt:lpstr>
      <vt:lpstr>promotores</vt:lpstr>
      <vt:lpstr>traspasos</vt:lpstr>
    </vt:vector>
  </TitlesOfParts>
  <Manager/>
  <Company>SUPEN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Orozco Mata</dc:creator>
  <cp:keywords/>
  <dc:description/>
  <cp:lastModifiedBy>Juan Carlos Rojas</cp:lastModifiedBy>
  <cp:revision/>
  <dcterms:created xsi:type="dcterms:W3CDTF">2008-09-30T22:57:13Z</dcterms:created>
  <dcterms:modified xsi:type="dcterms:W3CDTF">2026-03-12T23:23:18Z</dcterms:modified>
  <cp:category/>
  <cp:contentStatus/>
</cp:coreProperties>
</file>